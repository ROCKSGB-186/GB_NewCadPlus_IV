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855"/>
  </bookViews>
  <sheets>
    <sheet name="设备选型、管径计算" sheetId="2" r:id="rId1"/>
    <sheet name="管段材料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WWB</author>
  </authors>
  <commentList>
    <comment ref="C63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选取原料有石灰石、消石灰、生石灰等</t>
        </r>
      </text>
    </comment>
    <comment ref="C65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计算按1000选取
</t>
        </r>
      </text>
    </comment>
    <comment ref="C92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含10%附着水</t>
        </r>
      </text>
    </comment>
    <comment ref="C94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计算按1000选取
</t>
        </r>
      </text>
    </comment>
    <comment ref="C157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8h排空</t>
        </r>
      </text>
    </comment>
    <comment ref="C174" authorId="0">
      <text>
        <r>
          <rPr>
            <b/>
            <sz val="9"/>
            <rFont val="宋体"/>
            <charset val="134"/>
          </rPr>
          <t>WWB:</t>
        </r>
        <r>
          <rPr>
            <sz val="9"/>
            <rFont val="宋体"/>
            <charset val="134"/>
          </rPr>
          <t xml:space="preserve">
8h排空</t>
        </r>
      </text>
    </comment>
  </commentList>
</comments>
</file>

<file path=xl/sharedStrings.xml><?xml version="1.0" encoding="utf-8"?>
<sst xmlns="http://schemas.openxmlformats.org/spreadsheetml/2006/main" count="825" uniqueCount="233">
  <si>
    <t>设备</t>
  </si>
  <si>
    <t>参数名称</t>
  </si>
  <si>
    <t>参数</t>
  </si>
  <si>
    <t>单位</t>
  </si>
  <si>
    <t>值类型</t>
  </si>
  <si>
    <t>公式</t>
  </si>
  <si>
    <t>备注</t>
  </si>
  <si>
    <t>脱硫系统(单台)</t>
  </si>
  <si>
    <t>入口烟气SO2浓度</t>
  </si>
  <si>
    <t>mg/Nm3</t>
  </si>
  <si>
    <t>Input</t>
  </si>
  <si>
    <t>输入值</t>
  </si>
  <si>
    <t>出口烟气SO2浓度</t>
  </si>
  <si>
    <t>当地大气压</t>
  </si>
  <si>
    <t>Pa</t>
  </si>
  <si>
    <t>脱硫系统出口温度</t>
  </si>
  <si>
    <t>℃</t>
  </si>
  <si>
    <t>单套净化系统出口标况烟气量</t>
  </si>
  <si>
    <t>Nm3/h</t>
  </si>
  <si>
    <t>单套净化系统出口工况烟气量</t>
  </si>
  <si>
    <t>Calc</t>
  </si>
  <si>
    <t>C6*101325/C4*(273+C5)/273</t>
  </si>
  <si>
    <t>计算值</t>
  </si>
  <si>
    <t>烟囱出口风速</t>
  </si>
  <si>
    <t>m/s</t>
  </si>
  <si>
    <t>烟囱出口直径</t>
  </si>
  <si>
    <t>mm</t>
  </si>
  <si>
    <t>0.0188*SQRT(C7/C8)*1000</t>
  </si>
  <si>
    <t>烟囱出口直径取值</t>
  </si>
  <si>
    <t>单套净化系统设备数量</t>
  </si>
  <si>
    <t>台</t>
  </si>
  <si>
    <t>单台脱硫装置标况烟气量</t>
  </si>
  <si>
    <t>C6/C11</t>
  </si>
  <si>
    <t>单套净化系统SO2摩尔数</t>
  </si>
  <si>
    <t>kmol/h</t>
  </si>
  <si>
    <t>C6*(C2-C3)/64/1000000</t>
  </si>
  <si>
    <t>Ca/S：</t>
  </si>
  <si>
    <t>液气比</t>
  </si>
  <si>
    <r>
      <rPr>
        <sz val="12"/>
        <rFont val="等线"/>
        <charset val="134"/>
        <scheme val="minor"/>
      </rPr>
      <t>L/Nm</t>
    </r>
    <r>
      <rPr>
        <vertAlign val="superscript"/>
        <sz val="12"/>
        <rFont val="宋体"/>
        <charset val="134"/>
      </rPr>
      <t>3</t>
    </r>
  </si>
  <si>
    <t>喷淋层数</t>
  </si>
  <si>
    <t>层</t>
  </si>
  <si>
    <t>浆液循环总量</t>
  </si>
  <si>
    <t>m3/h</t>
  </si>
  <si>
    <t>C6*C15/1000</t>
  </si>
  <si>
    <t>停留时间</t>
  </si>
  <si>
    <t>min</t>
  </si>
  <si>
    <t>循环氧化区有效容积</t>
  </si>
  <si>
    <t>m3</t>
  </si>
  <si>
    <t>C17/60*C18</t>
  </si>
  <si>
    <t>循环氧化区直径</t>
  </si>
  <si>
    <t>m</t>
  </si>
  <si>
    <t>C10/1000</t>
  </si>
  <si>
    <t>循环氧化区有效高度</t>
  </si>
  <si>
    <t>C19/3.14/C20/C20*4</t>
  </si>
  <si>
    <t>循环泵选型(型号1)</t>
  </si>
  <si>
    <t>配置循环泵台数（连续运行）</t>
  </si>
  <si>
    <t>C16*C11</t>
  </si>
  <si>
    <t>备用</t>
  </si>
  <si>
    <t>单台循环泵流量</t>
  </si>
  <si>
    <r>
      <rPr>
        <sz val="12"/>
        <color theme="1"/>
        <rFont val="等线"/>
        <charset val="134"/>
        <scheme val="minor"/>
      </rPr>
      <t>m</t>
    </r>
    <r>
      <rPr>
        <vertAlign val="superscript"/>
        <sz val="12"/>
        <rFont val="宋体"/>
        <charset val="134"/>
      </rPr>
      <t>3</t>
    </r>
    <r>
      <rPr>
        <sz val="12"/>
        <color theme="1"/>
        <rFont val="等线"/>
        <charset val="134"/>
        <scheme val="minor"/>
      </rPr>
      <t>/h</t>
    </r>
  </si>
  <si>
    <t>C17/C23</t>
  </si>
  <si>
    <t>扬程</t>
  </si>
  <si>
    <t>电机系数</t>
  </si>
  <si>
    <t>1.1~1.15</t>
  </si>
  <si>
    <t>流量：</t>
  </si>
  <si>
    <t>计算功率</t>
  </si>
  <si>
    <t>kW</t>
  </si>
  <si>
    <t>C28*C26*9.81*1150/3600/0.8/0.98/1000*C27</t>
  </si>
  <si>
    <t>电机功率</t>
  </si>
  <si>
    <t>CEILING(C29+5,5)</t>
  </si>
  <si>
    <t>向上+5再取10,5的整数值</t>
  </si>
  <si>
    <t>(进)口管道尺寸</t>
  </si>
  <si>
    <t>介质：</t>
  </si>
  <si>
    <t>循环浆液\其它</t>
  </si>
  <si>
    <t>MultiplEselect</t>
  </si>
  <si>
    <t>下拉,多值可选</t>
  </si>
  <si>
    <t>使用条件：</t>
  </si>
  <si>
    <t>泵前\泵后\其它</t>
  </si>
  <si>
    <t>流速：</t>
  </si>
  <si>
    <t>管道尺寸：</t>
  </si>
  <si>
    <t>SQRT(C25/3600/C34/3.14*4)*1000</t>
  </si>
  <si>
    <t>取值：                                          DN</t>
  </si>
  <si>
    <t>核算流速：</t>
  </si>
  <si>
    <t>C25/3600/(C36/1000*C36/1000*3.14/4)</t>
  </si>
  <si>
    <t>(出)口管道尺寸</t>
  </si>
  <si>
    <t>循环浆液\</t>
  </si>
  <si>
    <t>泵后\泵前\其它</t>
  </si>
  <si>
    <t>SQRT(C25/3600/C41/3.14*4)*1000</t>
  </si>
  <si>
    <t>C25/3600/(C43/1000*C43/1000*3.14/4)</t>
  </si>
  <si>
    <t>氧化风机选型</t>
  </si>
  <si>
    <t>配置氧化风机台数（连续运行）</t>
  </si>
  <si>
    <t>1\2\3\4\5</t>
  </si>
  <si>
    <t>所需氧化风量</t>
  </si>
  <si>
    <t>Nm3/min</t>
  </si>
  <si>
    <t>0.5*22.4*C13*0.9/0.21/0.3/60</t>
  </si>
  <si>
    <t>所需氧化风压</t>
  </si>
  <si>
    <t>kPa</t>
  </si>
  <si>
    <t>9.8*C21</t>
  </si>
  <si>
    <t>(C52*60*C50*1000*C51)/(3600*102*0.9*0.98*9.8)</t>
  </si>
  <si>
    <t>氧化风机后(出)口管道尺寸</t>
  </si>
  <si>
    <t>氧化风\其它风</t>
  </si>
  <si>
    <t>SQRT(C52*60/3600/C58/3.14*4)*1000</t>
  </si>
  <si>
    <t>C52*60/3600/(C60/1000*C60/1000*3.14/4)</t>
  </si>
  <si>
    <t>石灰石浆液泵选型1(远)</t>
  </si>
  <si>
    <t>原料：</t>
  </si>
  <si>
    <t>石灰石粉\其它</t>
  </si>
  <si>
    <t>纯度：</t>
  </si>
  <si>
    <t>堆积密度（kg/m3）：</t>
  </si>
  <si>
    <t>单套系统消耗量（kg/h）：</t>
  </si>
  <si>
    <t>浆液平均密度（kg/m3）：</t>
  </si>
  <si>
    <t>供给远处系统数量</t>
  </si>
  <si>
    <t>套</t>
  </si>
  <si>
    <t>运行时长</t>
  </si>
  <si>
    <t>h</t>
  </si>
  <si>
    <t>配置台数（连续运行）</t>
  </si>
  <si>
    <t>计算单台浆液泵流量</t>
  </si>
  <si>
    <t>C68*C66/0.2/1200/C70*24/C69</t>
  </si>
  <si>
    <t>效率</t>
  </si>
  <si>
    <t>C76*C73*9.81*C67/3600/C75/0.98/1000*C74</t>
  </si>
  <si>
    <t>石灰石浆液泵选型2(近)</t>
  </si>
  <si>
    <t>供给近处系统数量</t>
  </si>
  <si>
    <t>C80*C66/0.2/1200/C82*24/C81</t>
  </si>
  <si>
    <t>C88*C85*9.81*C67/3600/C87/0.98/1000*C86</t>
  </si>
  <si>
    <t>石膏排出泵选型1(远)</t>
  </si>
  <si>
    <t>单套系统石膏产量（kg/h）：</t>
  </si>
  <si>
    <t>(C66*(1-C64)+C13*(C14-1)*100+C13*172)/0.9</t>
  </si>
  <si>
    <t>单套系统石膏携带水量（kg/h）：</t>
  </si>
  <si>
    <t>C95*0.1+C13*36</t>
  </si>
  <si>
    <t>石膏堆积密度（kg/m3）：</t>
  </si>
  <si>
    <t>石膏浆液平均密度（kg/m3）：</t>
  </si>
  <si>
    <t>单套系统石膏浆液产量（m3/h）：</t>
  </si>
  <si>
    <t>C92/0.2/C95</t>
  </si>
  <si>
    <t>远处系统数量</t>
  </si>
  <si>
    <t>C96*24/C98/C99</t>
  </si>
  <si>
    <t>C105*C102*9.81*C95/3600/C104/0.98/1000*C103</t>
  </si>
  <si>
    <t>石膏排出泵选型2(近)</t>
  </si>
  <si>
    <t>近处系统数量</t>
  </si>
  <si>
    <t>C96*24/C110/C111</t>
  </si>
  <si>
    <t>C117*C114*9.81*C95/3600/C116/0.98/1000*C115</t>
  </si>
  <si>
    <t>缓冲泵选型</t>
  </si>
  <si>
    <t>运行时长(h)：</t>
  </si>
  <si>
    <t>供给系统数量（套）：</t>
  </si>
  <si>
    <t>C96*C122*24/C121/C123</t>
  </si>
  <si>
    <t>C129*C126*9.81*C95/3600/C128/0.98/1000*C127</t>
  </si>
  <si>
    <t>滤液水泵选型1(远)</t>
  </si>
  <si>
    <t>滤液水密度</t>
  </si>
  <si>
    <t>kg/m3</t>
  </si>
  <si>
    <t>(C125*C95/1000*0.8*0.9+5)</t>
  </si>
  <si>
    <t>C141*C138*9.81*C133/3600/C140/0.98/1000*C139</t>
  </si>
  <si>
    <t>滤液水泵选型2(近)</t>
  </si>
  <si>
    <t>C152*C149*9.81*C133/3600/C151/0.98/1000*C150</t>
  </si>
  <si>
    <t>事故泵选型1(远)</t>
  </si>
  <si>
    <t>事故浆液密度</t>
  </si>
  <si>
    <t>计算单台浆液泵流量（m3/h）：</t>
  </si>
  <si>
    <t>C19/8</t>
  </si>
  <si>
    <t>配置台数</t>
  </si>
  <si>
    <t>C162*C160*9.81*C156/3600/C161/0.98/1000*C160</t>
  </si>
  <si>
    <t>事故泵选型2(近)</t>
  </si>
  <si>
    <t>C170*C167*9.81*C156/3600/C169/0.98/1000*C168</t>
  </si>
  <si>
    <t>地坑泵选型</t>
  </si>
  <si>
    <t>3*3*3/8</t>
  </si>
  <si>
    <t>C179*C176*9.81*C156/3600/C178/0.98/1000*C177</t>
  </si>
  <si>
    <r>
      <rPr>
        <b/>
        <sz val="9"/>
        <rFont val="宋体"/>
        <charset val="134"/>
      </rPr>
      <t>管段号</t>
    </r>
    <r>
      <rPr>
        <b/>
        <sz val="8"/>
        <rFont val="Times New Roman"/>
        <charset val="134"/>
      </rPr>
      <t xml:space="preserve">
Pipeline
No.</t>
    </r>
  </si>
  <si>
    <r>
      <rPr>
        <b/>
        <sz val="9"/>
        <rFont val="宋体"/>
        <charset val="134"/>
      </rPr>
      <t>管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段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起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止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点</t>
    </r>
    <r>
      <rPr>
        <b/>
        <sz val="8"/>
        <rFont val="Times New Roman"/>
        <charset val="134"/>
      </rPr>
      <t xml:space="preserve">
Pipeline From Start To End</t>
    </r>
  </si>
  <si>
    <r>
      <rPr>
        <b/>
        <sz val="9"/>
        <rFont val="宋体"/>
        <charset val="134"/>
      </rPr>
      <t>管道</t>
    </r>
  </si>
  <si>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设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计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条</t>
    </r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件</t>
    </r>
    <r>
      <rPr>
        <b/>
        <sz val="8"/>
        <rFont val="Times New Roman"/>
        <charset val="134"/>
      </rPr>
      <t xml:space="preserve">
Design Condition</t>
    </r>
  </si>
  <si>
    <r>
      <rPr>
        <b/>
        <sz val="9"/>
        <rFont val="Times New Roman"/>
        <charset val="134"/>
      </rPr>
      <t xml:space="preserve"> </t>
    </r>
    <r>
      <rPr>
        <b/>
        <sz val="9"/>
        <rFont val="宋体"/>
        <charset val="134"/>
      </rPr>
      <t>隔热及防腐</t>
    </r>
    <r>
      <rPr>
        <b/>
        <sz val="7"/>
        <rFont val="Times New Roman"/>
        <charset val="134"/>
      </rPr>
      <t xml:space="preserve">
Insul.&amp; Antisepsis</t>
    </r>
  </si>
  <si>
    <r>
      <rPr>
        <b/>
        <sz val="9"/>
        <rFont val="宋体"/>
        <charset val="134"/>
      </rPr>
      <t>管</t>
    </r>
    <r>
      <rPr>
        <b/>
        <sz val="9"/>
        <rFont val="Times New Roman"/>
        <charset val="134"/>
      </rPr>
      <t xml:space="preserve">  </t>
    </r>
    <r>
      <rPr>
        <b/>
        <sz val="9"/>
        <rFont val="宋体"/>
        <charset val="134"/>
      </rPr>
      <t>子</t>
    </r>
    <r>
      <rPr>
        <b/>
        <sz val="8"/>
        <rFont val="Times New Roman"/>
        <charset val="134"/>
      </rPr>
      <t xml:space="preserve">
Pipe  (m)</t>
    </r>
  </si>
  <si>
    <r>
      <rPr>
        <b/>
        <sz val="9"/>
        <rFont val="宋体"/>
        <charset val="134"/>
      </rPr>
      <t>阀</t>
    </r>
    <r>
      <rPr>
        <b/>
        <sz val="9"/>
        <rFont val="Times New Roman"/>
        <charset val="134"/>
      </rPr>
      <t xml:space="preserve">  </t>
    </r>
    <r>
      <rPr>
        <b/>
        <sz val="9"/>
        <rFont val="宋体"/>
        <charset val="134"/>
      </rPr>
      <t>门</t>
    </r>
    <r>
      <rPr>
        <b/>
        <sz val="8"/>
        <rFont val="Times New Roman"/>
        <charset val="134"/>
      </rPr>
      <t xml:space="preserve">
Valve  (Pcs.)</t>
    </r>
  </si>
  <si>
    <r>
      <rPr>
        <b/>
        <sz val="9"/>
        <rFont val="宋体"/>
        <charset val="134"/>
      </rPr>
      <t>法</t>
    </r>
    <r>
      <rPr>
        <b/>
        <sz val="9"/>
        <rFont val="Times New Roman"/>
        <charset val="134"/>
      </rPr>
      <t xml:space="preserve">    </t>
    </r>
    <r>
      <rPr>
        <b/>
        <sz val="9"/>
        <rFont val="宋体"/>
        <charset val="134"/>
      </rPr>
      <t>兰</t>
    </r>
    <r>
      <rPr>
        <b/>
        <sz val="8"/>
        <rFont val="Times New Roman"/>
        <charset val="134"/>
      </rPr>
      <t xml:space="preserve">
Flange   (Pcs.)</t>
    </r>
  </si>
  <si>
    <r>
      <rPr>
        <b/>
        <sz val="9"/>
        <rFont val="宋体"/>
        <charset val="134"/>
      </rPr>
      <t>管段号</t>
    </r>
    <r>
      <rPr>
        <b/>
        <sz val="8"/>
        <rFont val="Times New Roman"/>
        <charset val="134"/>
      </rPr>
      <t xml:space="preserve">
Pipeline
No.  </t>
    </r>
  </si>
  <si>
    <r>
      <rPr>
        <b/>
        <sz val="9"/>
        <rFont val="宋体"/>
        <charset val="134"/>
      </rPr>
      <t>垫</t>
    </r>
    <r>
      <rPr>
        <b/>
        <sz val="9"/>
        <rFont val="Times New Roman"/>
        <charset val="134"/>
      </rPr>
      <t xml:space="preserve">    </t>
    </r>
    <r>
      <rPr>
        <b/>
        <sz val="9"/>
        <rFont val="宋体"/>
        <charset val="134"/>
      </rPr>
      <t>片</t>
    </r>
    <r>
      <rPr>
        <b/>
        <sz val="8"/>
        <rFont val="Times New Roman"/>
        <charset val="134"/>
      </rPr>
      <t xml:space="preserve">
Gasket  (Pcs.)</t>
    </r>
  </si>
  <si>
    <r>
      <rPr>
        <b/>
        <sz val="9"/>
        <rFont val="宋体"/>
        <charset val="134"/>
      </rPr>
      <t>螺</t>
    </r>
    <r>
      <rPr>
        <b/>
        <sz val="9"/>
        <rFont val="Times New Roman"/>
        <charset val="134"/>
      </rPr>
      <t xml:space="preserve">  </t>
    </r>
    <r>
      <rPr>
        <b/>
        <sz val="9"/>
        <rFont val="宋体"/>
        <charset val="134"/>
      </rPr>
      <t>栓</t>
    </r>
    <r>
      <rPr>
        <b/>
        <sz val="8"/>
        <rFont val="Times New Roman"/>
        <charset val="134"/>
      </rPr>
      <t xml:space="preserve">
Bolt  (Pcs.)</t>
    </r>
  </si>
  <si>
    <r>
      <rPr>
        <b/>
        <sz val="9"/>
        <rFont val="宋体"/>
        <charset val="134"/>
      </rPr>
      <t>螺</t>
    </r>
    <r>
      <rPr>
        <b/>
        <sz val="9"/>
        <rFont val="Times New Roman"/>
        <charset val="134"/>
      </rPr>
      <t xml:space="preserve">  </t>
    </r>
    <r>
      <rPr>
        <b/>
        <sz val="9"/>
        <rFont val="宋体"/>
        <charset val="134"/>
      </rPr>
      <t>母</t>
    </r>
    <r>
      <rPr>
        <b/>
        <sz val="8"/>
        <rFont val="Times New Roman"/>
        <charset val="134"/>
      </rPr>
      <t xml:space="preserve">
Nut  (Pcs.)</t>
    </r>
  </si>
  <si>
    <r>
      <rPr>
        <b/>
        <sz val="9"/>
        <rFont val="宋体"/>
        <charset val="134"/>
      </rPr>
      <t>起点</t>
    </r>
  </si>
  <si>
    <r>
      <rPr>
        <b/>
        <sz val="9"/>
        <rFont val="宋体"/>
        <charset val="134"/>
      </rPr>
      <t>终点</t>
    </r>
  </si>
  <si>
    <r>
      <rPr>
        <b/>
        <sz val="9"/>
        <rFont val="宋体"/>
        <charset val="134"/>
      </rPr>
      <t>等级</t>
    </r>
  </si>
  <si>
    <r>
      <rPr>
        <b/>
        <sz val="9"/>
        <rFont val="宋体"/>
        <charset val="134"/>
      </rPr>
      <t>介质名称</t>
    </r>
  </si>
  <si>
    <r>
      <rPr>
        <b/>
        <sz val="9"/>
        <rFont val="宋体"/>
        <charset val="134"/>
      </rPr>
      <t>操作温度</t>
    </r>
  </si>
  <si>
    <r>
      <rPr>
        <b/>
        <sz val="9"/>
        <rFont val="宋体"/>
        <charset val="134"/>
      </rPr>
      <t>操作压力</t>
    </r>
  </si>
  <si>
    <r>
      <rPr>
        <b/>
        <sz val="8"/>
        <rFont val="宋体"/>
        <charset val="134"/>
      </rPr>
      <t>隔热隔声代号</t>
    </r>
  </si>
  <si>
    <r>
      <rPr>
        <b/>
        <sz val="9"/>
        <rFont val="宋体"/>
        <charset val="134"/>
      </rPr>
      <t>是否防腐</t>
    </r>
  </si>
  <si>
    <r>
      <rPr>
        <b/>
        <sz val="9"/>
        <rFont val="宋体"/>
        <charset val="134"/>
      </rPr>
      <t>名称</t>
    </r>
  </si>
  <si>
    <r>
      <rPr>
        <b/>
        <sz val="9"/>
        <rFont val="宋体"/>
        <charset val="134"/>
      </rPr>
      <t>规格</t>
    </r>
  </si>
  <si>
    <r>
      <rPr>
        <b/>
        <sz val="9"/>
        <rFont val="宋体"/>
        <charset val="134"/>
      </rPr>
      <t>材料</t>
    </r>
  </si>
  <si>
    <r>
      <rPr>
        <b/>
        <sz val="9"/>
        <rFont val="宋体"/>
        <charset val="134"/>
      </rPr>
      <t>数量</t>
    </r>
  </si>
  <si>
    <r>
      <rPr>
        <b/>
        <sz val="9"/>
        <rFont val="宋体"/>
        <charset val="134"/>
      </rPr>
      <t>图号或标准号</t>
    </r>
  </si>
  <si>
    <r>
      <rPr>
        <b/>
        <sz val="9"/>
        <rFont val="宋体"/>
        <charset val="134"/>
      </rPr>
      <t>阀体材料</t>
    </r>
  </si>
  <si>
    <r>
      <rPr>
        <b/>
        <sz val="7"/>
        <rFont val="宋体"/>
        <charset val="134"/>
      </rPr>
      <t>性能等级或材料牌号</t>
    </r>
  </si>
  <si>
    <t>From</t>
  </si>
  <si>
    <t>To</t>
  </si>
  <si>
    <t>Pipe Class</t>
  </si>
  <si>
    <t>Medium Name</t>
  </si>
  <si>
    <r>
      <rPr>
        <b/>
        <sz val="8"/>
        <rFont val="Times New Roman"/>
        <charset val="134"/>
      </rPr>
      <t>T(</t>
    </r>
    <r>
      <rPr>
        <b/>
        <sz val="8"/>
        <rFont val="宋体"/>
        <charset val="134"/>
      </rPr>
      <t>℃</t>
    </r>
    <r>
      <rPr>
        <b/>
        <sz val="8"/>
        <rFont val="Times New Roman"/>
        <charset val="134"/>
      </rPr>
      <t>)</t>
    </r>
  </si>
  <si>
    <t>P(MPaG)</t>
  </si>
  <si>
    <t>Code</t>
  </si>
  <si>
    <t>Antisepsis</t>
  </si>
  <si>
    <t>Name</t>
  </si>
  <si>
    <t>Specs.</t>
  </si>
  <si>
    <t>Material</t>
  </si>
  <si>
    <t>Quan.</t>
  </si>
  <si>
    <t>DWG.No./ STD.No.</t>
  </si>
  <si>
    <t>DWG.No.&amp; STD.No.</t>
  </si>
  <si>
    <t>Perf.Class</t>
  </si>
  <si>
    <t>PERF.CLASS</t>
  </si>
  <si>
    <t>AR-1001</t>
  </si>
  <si>
    <t>烟囱</t>
  </si>
  <si>
    <r>
      <rPr>
        <b/>
        <sz val="10"/>
        <rFont val="宋体"/>
        <charset val="134"/>
      </rPr>
      <t>循环泵</t>
    </r>
    <r>
      <rPr>
        <b/>
        <sz val="10"/>
        <rFont val="Times New Roman"/>
        <charset val="134"/>
      </rPr>
      <t>A</t>
    </r>
  </si>
  <si>
    <t>1.0G1</t>
  </si>
  <si>
    <t>吸收液</t>
  </si>
  <si>
    <t>~50</t>
  </si>
  <si>
    <t>/</t>
  </si>
  <si>
    <t>否</t>
  </si>
  <si>
    <t>玻璃钢管</t>
  </si>
  <si>
    <t>PN10 DN350</t>
  </si>
  <si>
    <t>FRP</t>
  </si>
  <si>
    <t>HG/T21633-1991</t>
  </si>
  <si>
    <t>衬胶蝶阀</t>
  </si>
  <si>
    <t>组合件</t>
  </si>
  <si>
    <t>D371J-10</t>
  </si>
  <si>
    <t>法兰</t>
  </si>
  <si>
    <t>石棉橡胶垫</t>
  </si>
  <si>
    <t>FF350-10</t>
  </si>
  <si>
    <t>XB450</t>
  </si>
  <si>
    <t>HG/T20606-2009</t>
  </si>
  <si>
    <t>双头螺柱</t>
  </si>
  <si>
    <t>M20×190</t>
  </si>
  <si>
    <t>GB/T 901-1988</t>
  </si>
  <si>
    <t>GB/T6170-2015</t>
  </si>
  <si>
    <t>AR-1002</t>
  </si>
  <si>
    <t>脱硫装置A</t>
  </si>
  <si>
    <t>PN10 DN300</t>
  </si>
  <si>
    <t>FF300-10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</si>
</sst>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  <numFmt numFmtId="179" formatCode="0.0%"/>
    <numFmt numFmtId="180" formatCode="0.0"/>
  </numFmts>
  <fonts count="39">
    <font>
      <sz val="11"/>
      <color theme="1"/>
      <name val="等线"/>
      <charset val="134"/>
      <scheme val="minor"/>
    </font>
    <font>
      <b/>
      <sz val="8"/>
      <name val="Times New Roman"/>
      <charset val="134"/>
    </font>
    <font>
      <b/>
      <sz val="9"/>
      <name val="Times New Roman"/>
      <charset val="134"/>
    </font>
    <font>
      <b/>
      <sz val="7"/>
      <name val="Times New Roman"/>
      <charset val="134"/>
    </font>
    <font>
      <sz val="12"/>
      <name val="Times New Roman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sz val="15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5"/>
      <color theme="1"/>
      <name val="等线"/>
      <charset val="134"/>
      <scheme val="minor"/>
    </font>
    <font>
      <b/>
      <sz val="12"/>
      <name val="宋体"/>
      <charset val="134"/>
    </font>
    <font>
      <sz val="12"/>
      <name val="等线"/>
      <charset val="134"/>
      <scheme val="minor"/>
    </font>
    <font>
      <sz val="12"/>
      <name val="宋体"/>
      <charset val="134"/>
    </font>
    <font>
      <sz val="12"/>
      <color rgb="FFEE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b/>
      <sz val="8"/>
      <name val="宋体"/>
      <charset val="134"/>
    </font>
    <font>
      <b/>
      <sz val="7"/>
      <name val="宋体"/>
      <charset val="134"/>
    </font>
    <font>
      <vertAlign val="superscript"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5"/>
      </right>
      <top/>
      <bottom/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/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>
      <left/>
      <right style="thin">
        <color theme="0" tint="-0.35"/>
      </right>
      <top/>
      <bottom style="thin">
        <color auto="1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auto="1"/>
      </bottom>
      <diagonal/>
    </border>
    <border>
      <left style="thin">
        <color theme="0" tint="-0.35"/>
      </left>
      <right/>
      <top style="thin">
        <color theme="0" tint="-0.35"/>
      </top>
      <bottom style="thin">
        <color auto="1"/>
      </bottom>
      <diagonal/>
    </border>
    <border>
      <left/>
      <right style="thin">
        <color theme="0" tint="-0.35"/>
      </right>
      <top style="thin">
        <color auto="1"/>
      </top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auto="1"/>
      </top>
      <bottom style="thin">
        <color theme="0" tint="-0.35"/>
      </bottom>
      <diagonal/>
    </border>
    <border>
      <left style="thin">
        <color theme="0" tint="-0.35"/>
      </left>
      <right/>
      <top style="thin">
        <color auto="1"/>
      </top>
      <bottom style="thin">
        <color theme="0" tint="-0.35"/>
      </bottom>
      <diagonal/>
    </border>
    <border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 style="thin">
        <color theme="0" tint="-0.35"/>
      </right>
      <top style="thin">
        <color theme="0" tint="-0.35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35"/>
      </right>
      <top style="thin">
        <color theme="0" tint="-0.35"/>
      </top>
      <bottom/>
      <diagonal/>
    </border>
    <border>
      <left/>
      <right style="thin">
        <color theme="0" tint="-0.35"/>
      </right>
      <top/>
      <bottom style="thin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3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38" applyNumberFormat="0" applyAlignment="0" applyProtection="0">
      <alignment vertical="center"/>
    </xf>
    <xf numFmtId="0" fontId="23" fillId="7" borderId="39" applyNumberFormat="0" applyAlignment="0" applyProtection="0">
      <alignment vertical="center"/>
    </xf>
    <xf numFmtId="0" fontId="24" fillId="7" borderId="38" applyNumberFormat="0" applyAlignment="0" applyProtection="0">
      <alignment vertical="center"/>
    </xf>
    <xf numFmtId="0" fontId="25" fillId="8" borderId="40" applyNumberForma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2" fillId="0" borderId="0">
      <alignment vertical="center"/>
    </xf>
  </cellStyleXfs>
  <cellXfs count="1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shrinkToFit="1"/>
    </xf>
    <xf numFmtId="0" fontId="4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176" fontId="5" fillId="0" borderId="17" xfId="0" applyNumberFormat="1" applyFont="1" applyBorder="1" applyAlignment="1">
      <alignment horizontal="center" vertical="center" shrinkToFit="1"/>
    </xf>
    <xf numFmtId="177" fontId="5" fillId="0" borderId="17" xfId="0" applyNumberFormat="1" applyFont="1" applyBorder="1" applyAlignment="1">
      <alignment horizontal="center" vertical="center" shrinkToFit="1"/>
    </xf>
    <xf numFmtId="0" fontId="6" fillId="0" borderId="17" xfId="49" applyFont="1" applyBorder="1" applyAlignment="1">
      <alignment horizontal="center" vertical="center" shrinkToFit="1"/>
    </xf>
    <xf numFmtId="0" fontId="5" fillId="2" borderId="17" xfId="49" applyFont="1" applyFill="1" applyBorder="1" applyAlignment="1">
      <alignment horizontal="center" vertical="center" wrapText="1" shrinkToFit="1"/>
    </xf>
    <xf numFmtId="0" fontId="5" fillId="0" borderId="17" xfId="49" applyFont="1" applyBorder="1" applyAlignment="1">
      <alignment horizontal="center" vertical="center" shrinkToFit="1"/>
    </xf>
    <xf numFmtId="0" fontId="5" fillId="0" borderId="2" xfId="49" applyFont="1" applyBorder="1" applyAlignment="1">
      <alignment horizontal="center" vertical="center" shrinkToFit="1"/>
    </xf>
    <xf numFmtId="0" fontId="5" fillId="2" borderId="17" xfId="49" applyFont="1" applyFill="1" applyBorder="1" applyAlignment="1">
      <alignment horizontal="center" vertical="center" shrinkToFit="1"/>
    </xf>
    <xf numFmtId="0" fontId="6" fillId="0" borderId="17" xfId="49" applyFont="1" applyBorder="1" applyAlignment="1">
      <alignment horizontal="center" vertical="center" wrapText="1" shrinkToFit="1"/>
    </xf>
    <xf numFmtId="0" fontId="5" fillId="3" borderId="17" xfId="49" applyFont="1" applyFill="1" applyBorder="1" applyAlignment="1">
      <alignment horizontal="center" vertical="center" shrinkToFit="1"/>
    </xf>
    <xf numFmtId="0" fontId="5" fillId="0" borderId="18" xfId="49" applyFont="1" applyBorder="1" applyAlignment="1">
      <alignment horizontal="center" vertical="center" shrinkToFit="1"/>
    </xf>
    <xf numFmtId="0" fontId="5" fillId="0" borderId="17" xfId="49" applyFont="1" applyBorder="1" applyAlignment="1">
      <alignment horizontal="center" vertical="center" wrapText="1" shrinkToFit="1"/>
    </xf>
    <xf numFmtId="0" fontId="0" fillId="2" borderId="0" xfId="0" applyFill="1"/>
    <xf numFmtId="0" fontId="0" fillId="3" borderId="0" xfId="0" applyFill="1"/>
    <xf numFmtId="0" fontId="7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8" fillId="0" borderId="20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22" xfId="0" applyFont="1" applyFill="1" applyBorder="1" applyAlignment="1">
      <alignment vertical="center"/>
    </xf>
    <xf numFmtId="0" fontId="11" fillId="0" borderId="22" xfId="0" applyFont="1" applyFill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2" xfId="0" applyFont="1" applyFill="1" applyBorder="1" applyAlignment="1">
      <alignment vertical="center"/>
    </xf>
    <xf numFmtId="0" fontId="12" fillId="3" borderId="22" xfId="0" applyFont="1" applyFill="1" applyBorder="1" applyAlignment="1">
      <alignment vertical="center"/>
    </xf>
    <xf numFmtId="176" fontId="11" fillId="3" borderId="22" xfId="0" applyNumberFormat="1" applyFont="1" applyFill="1" applyBorder="1" applyAlignment="1">
      <alignment vertical="center"/>
    </xf>
    <xf numFmtId="0" fontId="12" fillId="0" borderId="23" xfId="0" applyFont="1" applyFill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1" fillId="3" borderId="22" xfId="0" applyFont="1" applyFill="1" applyBorder="1" applyAlignment="1">
      <alignment vertical="center"/>
    </xf>
    <xf numFmtId="0" fontId="8" fillId="3" borderId="22" xfId="0" applyFont="1" applyFill="1" applyBorder="1" applyAlignment="1">
      <alignment vertical="center"/>
    </xf>
    <xf numFmtId="178" fontId="11" fillId="3" borderId="22" xfId="0" applyNumberFormat="1" applyFont="1" applyFill="1" applyBorder="1" applyAlignment="1">
      <alignment vertical="center"/>
    </xf>
    <xf numFmtId="0" fontId="11" fillId="0" borderId="23" xfId="0" applyFont="1" applyBorder="1" applyAlignment="1">
      <alignment vertical="center"/>
    </xf>
    <xf numFmtId="176" fontId="12" fillId="3" borderId="22" xfId="0" applyNumberFormat="1" applyFont="1" applyFill="1" applyBorder="1" applyAlignment="1">
      <alignment vertical="center"/>
    </xf>
    <xf numFmtId="177" fontId="12" fillId="3" borderId="22" xfId="0" applyNumberFormat="1" applyFont="1" applyFill="1" applyBorder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8" fillId="3" borderId="25" xfId="0" applyFont="1" applyFill="1" applyBorder="1" applyAlignment="1">
      <alignment vertical="center"/>
    </xf>
    <xf numFmtId="177" fontId="12" fillId="3" borderId="25" xfId="0" applyNumberFormat="1" applyFont="1" applyFill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177" fontId="12" fillId="0" borderId="0" xfId="0" applyNumberFormat="1" applyFont="1" applyFill="1" applyAlignment="1">
      <alignment vertical="center"/>
    </xf>
    <xf numFmtId="0" fontId="10" fillId="0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30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2" fontId="8" fillId="3" borderId="22" xfId="0" applyNumberFormat="1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0" fillId="0" borderId="31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4" borderId="27" xfId="0" applyFont="1" applyFill="1" applyBorder="1"/>
    <xf numFmtId="0" fontId="8" fillId="4" borderId="28" xfId="0" applyFont="1" applyFill="1" applyBorder="1"/>
    <xf numFmtId="0" fontId="8" fillId="0" borderId="29" xfId="0" applyFont="1" applyBorder="1"/>
    <xf numFmtId="0" fontId="8" fillId="4" borderId="30" xfId="0" applyFont="1" applyFill="1" applyBorder="1"/>
    <xf numFmtId="0" fontId="8" fillId="4" borderId="22" xfId="0" applyFont="1" applyFill="1" applyBorder="1"/>
    <xf numFmtId="0" fontId="8" fillId="0" borderId="23" xfId="0" applyFont="1" applyBorder="1"/>
    <xf numFmtId="0" fontId="8" fillId="0" borderId="30" xfId="0" applyFont="1" applyFill="1" applyBorder="1"/>
    <xf numFmtId="0" fontId="8" fillId="0" borderId="22" xfId="0" applyFont="1" applyFill="1" applyBorder="1"/>
    <xf numFmtId="0" fontId="8" fillId="3" borderId="30" xfId="0" applyFont="1" applyFill="1" applyBorder="1"/>
    <xf numFmtId="0" fontId="8" fillId="3" borderId="22" xfId="0" applyFont="1" applyFill="1" applyBorder="1"/>
    <xf numFmtId="0" fontId="8" fillId="2" borderId="30" xfId="0" applyFont="1" applyFill="1" applyBorder="1"/>
    <xf numFmtId="0" fontId="8" fillId="2" borderId="22" xfId="0" applyFont="1" applyFill="1" applyBorder="1"/>
    <xf numFmtId="0" fontId="8" fillId="0" borderId="32" xfId="0" applyFont="1" applyBorder="1" applyAlignment="1">
      <alignment horizontal="center" vertical="center"/>
    </xf>
    <xf numFmtId="0" fontId="8" fillId="3" borderId="31" xfId="0" applyFont="1" applyFill="1" applyBorder="1"/>
    <xf numFmtId="0" fontId="8" fillId="3" borderId="25" xfId="0" applyFont="1" applyFill="1" applyBorder="1"/>
    <xf numFmtId="0" fontId="8" fillId="0" borderId="26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0" fontId="8" fillId="0" borderId="28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178" fontId="8" fillId="3" borderId="22" xfId="0" applyNumberFormat="1" applyFont="1" applyFill="1" applyBorder="1"/>
    <xf numFmtId="0" fontId="8" fillId="2" borderId="2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2" borderId="30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179" fontId="8" fillId="4" borderId="22" xfId="0" applyNumberFormat="1" applyFont="1" applyFill="1" applyBorder="1" applyAlignment="1">
      <alignment vertical="center"/>
    </xf>
    <xf numFmtId="180" fontId="8" fillId="0" borderId="23" xfId="0" applyNumberFormat="1" applyFont="1" applyBorder="1" applyAlignment="1">
      <alignment vertical="center"/>
    </xf>
    <xf numFmtId="180" fontId="8" fillId="0" borderId="0" xfId="0" applyNumberFormat="1" applyFont="1" applyAlignment="1">
      <alignment vertical="center"/>
    </xf>
    <xf numFmtId="2" fontId="8" fillId="4" borderId="22" xfId="0" applyNumberFormat="1" applyFont="1" applyFill="1" applyBorder="1" applyAlignment="1">
      <alignment vertical="center"/>
    </xf>
    <xf numFmtId="0" fontId="8" fillId="0" borderId="22" xfId="0" applyFont="1" applyBorder="1"/>
    <xf numFmtId="0" fontId="12" fillId="0" borderId="22" xfId="0" applyFont="1" applyBorder="1" applyAlignment="1">
      <alignment vertical="center"/>
    </xf>
    <xf numFmtId="0" fontId="10" fillId="2" borderId="31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vertical="center"/>
    </xf>
    <xf numFmtId="0" fontId="8" fillId="0" borderId="3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2" fontId="8" fillId="3" borderId="28" xfId="0" applyNumberFormat="1" applyFont="1" applyFill="1" applyBorder="1" applyAlignment="1">
      <alignment vertical="center"/>
    </xf>
    <xf numFmtId="180" fontId="8" fillId="0" borderId="29" xfId="0" applyNumberFormat="1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180" fontId="8" fillId="0" borderId="21" xfId="0" applyNumberFormat="1" applyFont="1" applyBorder="1" applyAlignment="1">
      <alignment vertical="center"/>
    </xf>
    <xf numFmtId="180" fontId="8" fillId="0" borderId="0" xfId="0" applyNumberFormat="1" applyFont="1" applyAlignment="1">
      <alignment horizontal="center" vertical="center"/>
    </xf>
    <xf numFmtId="0" fontId="8" fillId="0" borderId="28" xfId="0" applyFont="1" applyFill="1" applyBorder="1"/>
    <xf numFmtId="0" fontId="10" fillId="2" borderId="33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80" fontId="8" fillId="3" borderId="22" xfId="0" applyNumberFormat="1" applyFont="1" applyFill="1" applyBorder="1" applyAlignment="1">
      <alignment vertical="center"/>
    </xf>
    <xf numFmtId="2" fontId="8" fillId="0" borderId="23" xfId="0" applyNumberFormat="1" applyFont="1" applyBorder="1" applyAlignment="1">
      <alignment vertical="center"/>
    </xf>
    <xf numFmtId="2" fontId="8" fillId="0" borderId="0" xfId="0" applyNumberFormat="1" applyFont="1" applyAlignment="1">
      <alignment vertical="center"/>
    </xf>
    <xf numFmtId="180" fontId="8" fillId="3" borderId="28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510229</xdr:colOff>
      <xdr:row>8</xdr:row>
      <xdr:rowOff>66555</xdr:rowOff>
    </xdr:from>
    <xdr:to>
      <xdr:col>8</xdr:col>
      <xdr:colOff>524732</xdr:colOff>
      <xdr:row>43</xdr:row>
      <xdr:rowOff>155255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5705" y="2085340"/>
          <a:ext cx="4815205" cy="642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tabSelected="1" workbookViewId="0">
      <pane ySplit="1" topLeftCell="A2" activePane="bottomLeft" state="frozen"/>
      <selection/>
      <selection pane="bottomLeft" activeCell="C27" sqref="C27"/>
    </sheetView>
  </sheetViews>
  <sheetFormatPr defaultColWidth="9" defaultRowHeight="15.75"/>
  <cols>
    <col min="1" max="1" width="27.875" style="48" customWidth="1"/>
    <col min="2" max="2" width="34.375" style="48" customWidth="1"/>
    <col min="3" max="3" width="19.25" style="48" customWidth="1"/>
    <col min="4" max="4" width="8.75" style="48" customWidth="1"/>
    <col min="5" max="5" width="13.75" style="49" customWidth="1"/>
    <col min="6" max="6" width="44.875" style="49" customWidth="1"/>
    <col min="7" max="7" width="23.375" style="49" customWidth="1"/>
    <col min="8" max="8" width="26.625" style="48" customWidth="1"/>
    <col min="9" max="16384" width="9" style="48"/>
  </cols>
  <sheetData>
    <row r="1" s="46" customFormat="1" ht="30" customHeight="1" spans="1:9">
      <c r="A1" s="50" t="s">
        <v>0</v>
      </c>
      <c r="B1" s="50" t="s">
        <v>1</v>
      </c>
      <c r="C1" s="50" t="s">
        <v>2</v>
      </c>
      <c r="D1" s="50" t="s">
        <v>3</v>
      </c>
      <c r="E1" s="51" t="s">
        <v>4</v>
      </c>
      <c r="F1" s="51" t="s">
        <v>5</v>
      </c>
      <c r="G1" s="51" t="s">
        <v>6</v>
      </c>
      <c r="H1" s="52"/>
    </row>
    <row r="2" spans="1:9">
      <c r="A2" s="53" t="s">
        <v>7</v>
      </c>
      <c r="B2" s="54" t="s">
        <v>8</v>
      </c>
      <c r="C2" s="55">
        <v>210</v>
      </c>
      <c r="D2" s="56" t="s">
        <v>9</v>
      </c>
      <c r="E2" s="57" t="s">
        <v>10</v>
      </c>
      <c r="F2" s="57"/>
      <c r="G2" s="58" t="s">
        <v>11</v>
      </c>
      <c r="H2" s="59"/>
      <c r="I2" s="60"/>
    </row>
    <row r="3" spans="1:9">
      <c r="A3" s="53"/>
      <c r="B3" s="61" t="s">
        <v>12</v>
      </c>
      <c r="C3" s="62">
        <v>35</v>
      </c>
      <c r="D3" s="63" t="s">
        <v>9</v>
      </c>
      <c r="E3" s="57" t="s">
        <v>10</v>
      </c>
      <c r="F3" s="57"/>
      <c r="G3" s="58" t="s">
        <v>11</v>
      </c>
      <c r="H3" s="59"/>
      <c r="I3" s="60"/>
    </row>
    <row r="4" spans="1:9">
      <c r="A4" s="53"/>
      <c r="B4" s="61" t="s">
        <v>13</v>
      </c>
      <c r="C4" s="62">
        <v>93090</v>
      </c>
      <c r="D4" s="63" t="s">
        <v>14</v>
      </c>
      <c r="E4" s="57" t="s">
        <v>10</v>
      </c>
      <c r="F4" s="57"/>
      <c r="G4" s="58" t="s">
        <v>11</v>
      </c>
      <c r="H4" s="59"/>
      <c r="I4" s="60"/>
    </row>
    <row r="5" spans="1:9">
      <c r="A5" s="53"/>
      <c r="B5" s="61" t="s">
        <v>15</v>
      </c>
      <c r="C5" s="62">
        <v>30</v>
      </c>
      <c r="D5" s="63" t="s">
        <v>16</v>
      </c>
      <c r="E5" s="57" t="s">
        <v>10</v>
      </c>
      <c r="F5" s="57"/>
      <c r="G5" s="58" t="s">
        <v>11</v>
      </c>
      <c r="H5" s="59"/>
      <c r="I5" s="60"/>
    </row>
    <row r="6" spans="1:9">
      <c r="A6" s="53"/>
      <c r="B6" s="64" t="s">
        <v>17</v>
      </c>
      <c r="C6" s="62">
        <v>1735000</v>
      </c>
      <c r="D6" s="63" t="s">
        <v>18</v>
      </c>
      <c r="E6" s="57" t="s">
        <v>10</v>
      </c>
      <c r="F6" s="57"/>
      <c r="G6" s="58" t="s">
        <v>11</v>
      </c>
      <c r="H6" s="59"/>
      <c r="I6" s="60"/>
    </row>
    <row r="7" spans="1:9">
      <c r="A7" s="53"/>
      <c r="B7" s="65" t="s">
        <v>19</v>
      </c>
      <c r="C7" s="66">
        <f>C6*101325/C4*(273+C5)/273</f>
        <v>2096008.51533256</v>
      </c>
      <c r="D7" s="67" t="s">
        <v>18</v>
      </c>
      <c r="E7" s="68" t="s">
        <v>20</v>
      </c>
      <c r="F7" s="68" t="s">
        <v>21</v>
      </c>
      <c r="G7" s="58" t="s">
        <v>22</v>
      </c>
      <c r="H7" s="69"/>
      <c r="I7" s="60"/>
    </row>
    <row r="8" spans="1:9">
      <c r="A8" s="53"/>
      <c r="B8" s="64" t="s">
        <v>23</v>
      </c>
      <c r="C8" s="62">
        <v>15.4</v>
      </c>
      <c r="D8" s="63" t="s">
        <v>24</v>
      </c>
      <c r="E8" s="57" t="s">
        <v>10</v>
      </c>
      <c r="F8" s="57"/>
      <c r="G8" s="58" t="s">
        <v>11</v>
      </c>
      <c r="H8" s="59"/>
      <c r="I8" s="60"/>
    </row>
    <row r="9" spans="1:9">
      <c r="A9" s="53"/>
      <c r="B9" s="65" t="s">
        <v>25</v>
      </c>
      <c r="C9" s="66">
        <f>0.0188*SQRT(C7/C8)*1000</f>
        <v>6935.75925702245</v>
      </c>
      <c r="D9" s="63" t="s">
        <v>26</v>
      </c>
      <c r="E9" s="68" t="s">
        <v>20</v>
      </c>
      <c r="F9" s="68" t="s">
        <v>27</v>
      </c>
      <c r="G9" s="58" t="s">
        <v>22</v>
      </c>
      <c r="H9" s="59"/>
      <c r="I9" s="60"/>
    </row>
    <row r="10" spans="1:9">
      <c r="A10" s="53"/>
      <c r="B10" s="64" t="s">
        <v>28</v>
      </c>
      <c r="C10" s="62">
        <v>7000</v>
      </c>
      <c r="D10" s="63" t="s">
        <v>26</v>
      </c>
      <c r="E10" s="57" t="s">
        <v>10</v>
      </c>
      <c r="F10" s="57"/>
      <c r="G10" s="58" t="s">
        <v>11</v>
      </c>
      <c r="H10" s="59"/>
      <c r="I10" s="60"/>
    </row>
    <row r="11" spans="1:9">
      <c r="A11" s="53"/>
      <c r="B11" s="64" t="s">
        <v>29</v>
      </c>
      <c r="C11" s="62">
        <v>2</v>
      </c>
      <c r="D11" s="63" t="s">
        <v>30</v>
      </c>
      <c r="E11" s="57" t="s">
        <v>10</v>
      </c>
      <c r="F11" s="57"/>
      <c r="G11" s="58" t="s">
        <v>11</v>
      </c>
      <c r="H11" s="59"/>
      <c r="I11" s="60"/>
    </row>
    <row r="12" spans="1:9">
      <c r="A12" s="53"/>
      <c r="B12" s="65" t="s">
        <v>31</v>
      </c>
      <c r="C12" s="70">
        <f>C6/C11</f>
        <v>867500</v>
      </c>
      <c r="D12" s="63" t="s">
        <v>18</v>
      </c>
      <c r="E12" s="68" t="s">
        <v>20</v>
      </c>
      <c r="F12" s="68" t="s">
        <v>32</v>
      </c>
      <c r="G12" s="58" t="s">
        <v>22</v>
      </c>
      <c r="H12" s="59"/>
      <c r="I12" s="60"/>
    </row>
    <row r="13" spans="1:9">
      <c r="A13" s="53"/>
      <c r="B13" s="71" t="s">
        <v>33</v>
      </c>
      <c r="C13" s="72">
        <f>C6*(C2-C3)/64/1000000</f>
        <v>4.744140625</v>
      </c>
      <c r="D13" s="63" t="s">
        <v>34</v>
      </c>
      <c r="E13" s="68" t="s">
        <v>20</v>
      </c>
      <c r="F13" s="68" t="s">
        <v>35</v>
      </c>
      <c r="G13" s="58" t="s">
        <v>22</v>
      </c>
      <c r="H13" s="59"/>
      <c r="I13" s="60"/>
    </row>
    <row r="14" spans="1:9">
      <c r="A14" s="53"/>
      <c r="B14" s="61" t="s">
        <v>36</v>
      </c>
      <c r="C14" s="62">
        <v>1.03</v>
      </c>
      <c r="D14" s="63"/>
      <c r="E14" s="57" t="s">
        <v>10</v>
      </c>
      <c r="F14" s="57"/>
      <c r="G14" s="58" t="s">
        <v>11</v>
      </c>
      <c r="H14" s="59"/>
      <c r="I14" s="60"/>
    </row>
    <row r="15" ht="16.5" spans="1:9">
      <c r="A15" s="53"/>
      <c r="B15" s="61" t="s">
        <v>37</v>
      </c>
      <c r="C15" s="62">
        <v>2.2</v>
      </c>
      <c r="D15" s="73" t="s">
        <v>38</v>
      </c>
      <c r="E15" s="57" t="s">
        <v>10</v>
      </c>
      <c r="F15" s="57"/>
      <c r="G15" s="58" t="s">
        <v>11</v>
      </c>
      <c r="H15" s="59"/>
      <c r="I15" s="60"/>
    </row>
    <row r="16" spans="1:9">
      <c r="A16" s="53"/>
      <c r="B16" s="61" t="s">
        <v>39</v>
      </c>
      <c r="C16" s="64">
        <v>1</v>
      </c>
      <c r="D16" s="73" t="s">
        <v>40</v>
      </c>
      <c r="E16" s="57" t="s">
        <v>10</v>
      </c>
      <c r="F16" s="57"/>
      <c r="G16" s="58" t="s">
        <v>11</v>
      </c>
      <c r="H16" s="59"/>
      <c r="I16" s="60"/>
    </row>
    <row r="17" spans="1:9">
      <c r="A17" s="53"/>
      <c r="B17" s="71" t="s">
        <v>41</v>
      </c>
      <c r="C17" s="65">
        <f>C6*C15/1000</f>
        <v>3817</v>
      </c>
      <c r="D17" s="63" t="s">
        <v>42</v>
      </c>
      <c r="E17" s="68" t="s">
        <v>20</v>
      </c>
      <c r="F17" s="68" t="s">
        <v>43</v>
      </c>
      <c r="G17" s="58" t="s">
        <v>22</v>
      </c>
      <c r="H17" s="59"/>
      <c r="I17" s="60"/>
    </row>
    <row r="18" spans="1:9">
      <c r="A18" s="53"/>
      <c r="B18" s="61" t="s">
        <v>44</v>
      </c>
      <c r="C18" s="64">
        <v>4.35</v>
      </c>
      <c r="D18" s="63" t="s">
        <v>45</v>
      </c>
      <c r="E18" s="57" t="s">
        <v>10</v>
      </c>
      <c r="F18" s="57"/>
      <c r="G18" s="58" t="s">
        <v>11</v>
      </c>
      <c r="H18" s="59"/>
      <c r="I18" s="60"/>
    </row>
    <row r="19" spans="1:9">
      <c r="A19" s="53"/>
      <c r="B19" s="71" t="s">
        <v>46</v>
      </c>
      <c r="C19" s="74">
        <f>C17/60*C18</f>
        <v>276.7325</v>
      </c>
      <c r="D19" s="63" t="s">
        <v>47</v>
      </c>
      <c r="E19" s="68" t="s">
        <v>20</v>
      </c>
      <c r="F19" s="68" t="s">
        <v>48</v>
      </c>
      <c r="G19" s="58" t="s">
        <v>22</v>
      </c>
      <c r="H19" s="59"/>
      <c r="I19" s="60"/>
    </row>
    <row r="20" spans="1:9">
      <c r="A20" s="53"/>
      <c r="B20" s="71" t="s">
        <v>49</v>
      </c>
      <c r="C20" s="75">
        <f>C10/1000</f>
        <v>7</v>
      </c>
      <c r="D20" s="63" t="s">
        <v>50</v>
      </c>
      <c r="E20" s="68" t="s">
        <v>20</v>
      </c>
      <c r="F20" s="68" t="s">
        <v>51</v>
      </c>
      <c r="G20" s="58" t="s">
        <v>22</v>
      </c>
      <c r="H20" s="59"/>
      <c r="I20" s="60"/>
    </row>
    <row r="21" spans="1:9">
      <c r="A21" s="76"/>
      <c r="B21" s="77" t="s">
        <v>52</v>
      </c>
      <c r="C21" s="78">
        <f>C19/3.14/C20/C20*4</f>
        <v>7.19439750422462</v>
      </c>
      <c r="D21" s="79" t="s">
        <v>50</v>
      </c>
      <c r="E21" s="68" t="s">
        <v>20</v>
      </c>
      <c r="F21" s="68" t="s">
        <v>53</v>
      </c>
      <c r="G21" s="58" t="s">
        <v>22</v>
      </c>
      <c r="H21" s="59"/>
      <c r="I21" s="60"/>
    </row>
    <row r="22" spans="1:9">
      <c r="A22" s="80"/>
      <c r="B22" s="81"/>
      <c r="C22" s="82"/>
      <c r="D22" s="59"/>
      <c r="E22" s="57"/>
      <c r="F22" s="57"/>
      <c r="G22" s="57"/>
      <c r="H22" s="59"/>
      <c r="I22" s="60"/>
    </row>
    <row r="23" spans="1:9">
      <c r="A23" s="83" t="s">
        <v>54</v>
      </c>
      <c r="B23" s="84" t="s">
        <v>55</v>
      </c>
      <c r="C23" s="84">
        <f>C16*C11</f>
        <v>2</v>
      </c>
      <c r="D23" s="85" t="s">
        <v>30</v>
      </c>
      <c r="E23" s="68" t="s">
        <v>20</v>
      </c>
      <c r="F23" s="68" t="s">
        <v>56</v>
      </c>
      <c r="G23" s="58" t="s">
        <v>22</v>
      </c>
      <c r="H23" s="86"/>
      <c r="I23" s="60"/>
    </row>
    <row r="24" spans="1:9">
      <c r="A24" s="87"/>
      <c r="B24" s="61" t="s">
        <v>57</v>
      </c>
      <c r="C24" s="61">
        <v>1</v>
      </c>
      <c r="D24" s="88" t="s">
        <v>30</v>
      </c>
      <c r="E24" s="57" t="s">
        <v>10</v>
      </c>
      <c r="F24" s="57"/>
      <c r="G24" s="58" t="s">
        <v>11</v>
      </c>
      <c r="H24" s="60"/>
      <c r="I24" s="60"/>
    </row>
    <row r="25" ht="16.5" spans="1:9">
      <c r="A25" s="87"/>
      <c r="B25" s="71" t="s">
        <v>58</v>
      </c>
      <c r="C25" s="89">
        <f>C17/C23</f>
        <v>1908.5</v>
      </c>
      <c r="D25" s="88" t="s">
        <v>59</v>
      </c>
      <c r="E25" s="68" t="s">
        <v>20</v>
      </c>
      <c r="F25" s="68" t="s">
        <v>60</v>
      </c>
      <c r="G25" s="58" t="s">
        <v>22</v>
      </c>
      <c r="H25" s="60"/>
      <c r="I25" s="60"/>
    </row>
    <row r="26" spans="1:9">
      <c r="A26" s="87"/>
      <c r="B26" s="90" t="s">
        <v>61</v>
      </c>
      <c r="C26" s="90">
        <v>20</v>
      </c>
      <c r="D26" s="88" t="s">
        <v>50</v>
      </c>
      <c r="E26" s="57" t="s">
        <v>10</v>
      </c>
      <c r="F26" s="57"/>
      <c r="G26" s="58" t="s">
        <v>11</v>
      </c>
      <c r="H26" s="60"/>
      <c r="I26" s="60"/>
    </row>
    <row r="27" spans="1:9">
      <c r="A27" s="87"/>
      <c r="B27" s="91" t="s">
        <v>62</v>
      </c>
      <c r="C27" s="91">
        <v>1.15</v>
      </c>
      <c r="D27" s="88" t="s">
        <v>63</v>
      </c>
      <c r="E27" s="57" t="s">
        <v>10</v>
      </c>
      <c r="F27" s="57"/>
      <c r="G27" s="58" t="s">
        <v>11</v>
      </c>
      <c r="H27" s="60"/>
      <c r="I27" s="60"/>
    </row>
    <row r="28" ht="16.5" spans="1:9">
      <c r="A28" s="87"/>
      <c r="B28" s="90" t="s">
        <v>64</v>
      </c>
      <c r="C28" s="90">
        <v>1950</v>
      </c>
      <c r="D28" s="88" t="s">
        <v>59</v>
      </c>
      <c r="E28" s="57" t="s">
        <v>10</v>
      </c>
      <c r="F28" s="57"/>
      <c r="G28" s="58" t="s">
        <v>11</v>
      </c>
      <c r="H28" s="60"/>
      <c r="I28" s="60"/>
    </row>
    <row r="29" spans="1:9">
      <c r="A29" s="87"/>
      <c r="B29" s="71" t="s">
        <v>65</v>
      </c>
      <c r="C29" s="89">
        <f>C28*C26*9.81*1150/3600/0.8/0.98/1000*C27</f>
        <v>179.271285076531</v>
      </c>
      <c r="D29" s="88" t="s">
        <v>66</v>
      </c>
      <c r="E29" s="68" t="s">
        <v>20</v>
      </c>
      <c r="F29" s="68" t="s">
        <v>67</v>
      </c>
      <c r="G29" s="58" t="s">
        <v>22</v>
      </c>
      <c r="H29" s="60"/>
      <c r="I29" s="60"/>
    </row>
    <row r="30" spans="1:9">
      <c r="A30" s="92"/>
      <c r="B30" s="77" t="s">
        <v>68</v>
      </c>
      <c r="C30" s="77">
        <f>CEILING(C29+5,5)</f>
        <v>185</v>
      </c>
      <c r="D30" s="93" t="s">
        <v>66</v>
      </c>
      <c r="E30" s="68" t="s">
        <v>20</v>
      </c>
      <c r="F30" s="68" t="s">
        <v>69</v>
      </c>
      <c r="G30" s="58" t="s">
        <v>22</v>
      </c>
      <c r="H30" s="86" t="s">
        <v>70</v>
      </c>
      <c r="I30" s="60"/>
    </row>
    <row r="32" spans="1:9">
      <c r="A32" s="94" t="s">
        <v>71</v>
      </c>
      <c r="B32" s="95" t="s">
        <v>72</v>
      </c>
      <c r="C32" s="96" t="s">
        <v>73</v>
      </c>
      <c r="D32" s="97"/>
      <c r="E32" s="49" t="s">
        <v>74</v>
      </c>
      <c r="G32" s="49" t="s">
        <v>75</v>
      </c>
    </row>
    <row r="33" spans="1:8">
      <c r="A33" s="80"/>
      <c r="B33" s="98" t="s">
        <v>76</v>
      </c>
      <c r="C33" s="99" t="s">
        <v>77</v>
      </c>
      <c r="D33" s="100"/>
      <c r="E33" s="49" t="s">
        <v>74</v>
      </c>
      <c r="G33" s="49" t="s">
        <v>75</v>
      </c>
    </row>
    <row r="34" spans="1:8">
      <c r="A34" s="80"/>
      <c r="B34" s="101" t="s">
        <v>78</v>
      </c>
      <c r="C34" s="102">
        <v>1.5</v>
      </c>
      <c r="D34" s="100" t="s">
        <v>24</v>
      </c>
      <c r="E34" s="57" t="s">
        <v>10</v>
      </c>
      <c r="F34" s="57"/>
      <c r="G34" s="58" t="s">
        <v>11</v>
      </c>
    </row>
    <row r="35" spans="1:8">
      <c r="A35" s="80"/>
      <c r="B35" s="103" t="s">
        <v>79</v>
      </c>
      <c r="C35" s="104">
        <f>SQRT(C25/3600/C34/3.14*4)*1000</f>
        <v>670.987413786413</v>
      </c>
      <c r="D35" s="100" t="s">
        <v>26</v>
      </c>
      <c r="E35" s="68" t="s">
        <v>20</v>
      </c>
      <c r="F35" s="68" t="s">
        <v>80</v>
      </c>
      <c r="G35" s="58" t="s">
        <v>22</v>
      </c>
    </row>
    <row r="36" spans="1:8">
      <c r="A36" s="80"/>
      <c r="B36" s="105" t="s">
        <v>81</v>
      </c>
      <c r="C36" s="106">
        <v>350</v>
      </c>
      <c r="D36" s="100"/>
      <c r="E36" s="57" t="s">
        <v>10</v>
      </c>
      <c r="F36" s="57"/>
      <c r="G36" s="58" t="s">
        <v>11</v>
      </c>
    </row>
    <row r="37" spans="1:8">
      <c r="A37" s="107"/>
      <c r="B37" s="108" t="s">
        <v>82</v>
      </c>
      <c r="C37" s="109">
        <f>C25/3600/(C36/1000*C36/1000*3.14/4)</f>
        <v>5.51294827909933</v>
      </c>
      <c r="D37" s="110"/>
      <c r="E37" s="68" t="s">
        <v>20</v>
      </c>
      <c r="F37" s="68" t="s">
        <v>83</v>
      </c>
      <c r="G37" s="58" t="s">
        <v>22</v>
      </c>
      <c r="H37" s="111"/>
    </row>
    <row r="39" spans="1:8">
      <c r="A39" s="94" t="s">
        <v>84</v>
      </c>
      <c r="B39" s="95" t="s">
        <v>72</v>
      </c>
      <c r="C39" s="96" t="s">
        <v>85</v>
      </c>
      <c r="D39" s="97"/>
      <c r="E39" s="49" t="s">
        <v>74</v>
      </c>
      <c r="G39" s="49" t="s">
        <v>75</v>
      </c>
    </row>
    <row r="40" spans="1:8">
      <c r="A40" s="112"/>
      <c r="B40" s="98" t="s">
        <v>76</v>
      </c>
      <c r="C40" s="99" t="s">
        <v>86</v>
      </c>
      <c r="D40" s="100"/>
      <c r="E40" s="49" t="s">
        <v>74</v>
      </c>
      <c r="G40" s="49" t="s">
        <v>75</v>
      </c>
    </row>
    <row r="41" spans="1:8">
      <c r="A41" s="112"/>
      <c r="B41" s="101" t="s">
        <v>78</v>
      </c>
      <c r="C41" s="102">
        <v>1.8</v>
      </c>
      <c r="D41" s="100" t="s">
        <v>24</v>
      </c>
      <c r="E41" s="57" t="s">
        <v>10</v>
      </c>
      <c r="F41" s="57"/>
      <c r="G41" s="58" t="s">
        <v>11</v>
      </c>
    </row>
    <row r="42" spans="1:8">
      <c r="A42" s="112"/>
      <c r="B42" s="103" t="s">
        <v>79</v>
      </c>
      <c r="C42" s="104">
        <f>SQRT(C25/3600/C41/3.14*4)*1000</f>
        <v>612.524903888118</v>
      </c>
      <c r="D42" s="100" t="s">
        <v>26</v>
      </c>
      <c r="E42" s="68" t="s">
        <v>20</v>
      </c>
      <c r="F42" s="68" t="s">
        <v>87</v>
      </c>
      <c r="G42" s="58" t="s">
        <v>22</v>
      </c>
    </row>
    <row r="43" spans="1:8">
      <c r="A43" s="112"/>
      <c r="B43" s="105" t="s">
        <v>81</v>
      </c>
      <c r="C43" s="106">
        <v>300</v>
      </c>
      <c r="D43" s="100"/>
      <c r="E43" s="57" t="s">
        <v>10</v>
      </c>
      <c r="F43" s="57"/>
      <c r="G43" s="58" t="s">
        <v>11</v>
      </c>
    </row>
    <row r="44" spans="1:8">
      <c r="A44" s="107"/>
      <c r="B44" s="108" t="s">
        <v>82</v>
      </c>
      <c r="C44" s="109">
        <f>C25/3600/(C43/1000*C43/1000*3.14/4)</f>
        <v>7.50373515766297</v>
      </c>
      <c r="D44" s="110"/>
      <c r="E44" s="68" t="s">
        <v>20</v>
      </c>
      <c r="F44" s="68" t="s">
        <v>88</v>
      </c>
      <c r="G44" s="58" t="s">
        <v>22</v>
      </c>
      <c r="H44" s="113"/>
    </row>
    <row r="45" s="47" customFormat="1" spans="1:8">
      <c r="A45" s="114"/>
      <c r="B45" s="115"/>
      <c r="C45" s="115"/>
      <c r="D45" s="116"/>
      <c r="E45" s="117"/>
      <c r="F45" s="117"/>
      <c r="G45" s="117"/>
      <c r="H45" s="118"/>
    </row>
    <row r="46" spans="1:8">
      <c r="A46" s="83" t="s">
        <v>89</v>
      </c>
      <c r="B46" s="119" t="s">
        <v>90</v>
      </c>
      <c r="C46" s="119" t="s">
        <v>91</v>
      </c>
      <c r="D46" s="85" t="s">
        <v>30</v>
      </c>
      <c r="E46" s="49" t="s">
        <v>74</v>
      </c>
      <c r="G46" s="49" t="s">
        <v>75</v>
      </c>
    </row>
    <row r="47" spans="1:8">
      <c r="A47" s="87"/>
      <c r="B47" s="120" t="s">
        <v>57</v>
      </c>
      <c r="C47" s="120" t="s">
        <v>91</v>
      </c>
      <c r="D47" s="88" t="s">
        <v>30</v>
      </c>
      <c r="E47" s="49" t="s">
        <v>74</v>
      </c>
      <c r="G47" s="49" t="s">
        <v>75</v>
      </c>
      <c r="H47" s="60"/>
    </row>
    <row r="48" spans="1:8">
      <c r="A48" s="87"/>
      <c r="B48" s="104" t="s">
        <v>92</v>
      </c>
      <c r="C48" s="121">
        <f>0.5*22.4*C13*0.9/0.21/0.3/60</f>
        <v>12.6510416666667</v>
      </c>
      <c r="D48" s="63" t="s">
        <v>93</v>
      </c>
      <c r="E48" s="68" t="s">
        <v>20</v>
      </c>
      <c r="F48" s="68" t="s">
        <v>94</v>
      </c>
      <c r="G48" s="58" t="s">
        <v>22</v>
      </c>
      <c r="H48" s="59"/>
    </row>
    <row r="49" spans="1:9">
      <c r="A49" s="87"/>
      <c r="B49" s="104" t="s">
        <v>95</v>
      </c>
      <c r="C49" s="121">
        <f>9.8*C21</f>
        <v>70.5050955414013</v>
      </c>
      <c r="D49" s="100" t="s">
        <v>96</v>
      </c>
      <c r="E49" s="68" t="s">
        <v>20</v>
      </c>
      <c r="F49" s="68" t="s">
        <v>97</v>
      </c>
      <c r="G49" s="58" t="s">
        <v>22</v>
      </c>
    </row>
    <row r="50" spans="1:9">
      <c r="A50" s="87"/>
      <c r="B50" s="90" t="s">
        <v>61</v>
      </c>
      <c r="C50" s="90">
        <v>80</v>
      </c>
      <c r="D50" s="88" t="s">
        <v>96</v>
      </c>
      <c r="E50" s="57" t="s">
        <v>10</v>
      </c>
      <c r="F50" s="57"/>
      <c r="G50" s="58" t="s">
        <v>11</v>
      </c>
      <c r="H50" s="60"/>
    </row>
    <row r="51" spans="1:9">
      <c r="A51" s="87"/>
      <c r="B51" s="91" t="s">
        <v>62</v>
      </c>
      <c r="C51" s="91">
        <v>1.15</v>
      </c>
      <c r="D51" s="88" t="s">
        <v>63</v>
      </c>
      <c r="E51" s="57" t="s">
        <v>10</v>
      </c>
      <c r="F51" s="57"/>
      <c r="G51" s="58" t="s">
        <v>11</v>
      </c>
      <c r="H51" s="60"/>
    </row>
    <row r="52" ht="16.5" spans="1:9">
      <c r="A52" s="87"/>
      <c r="B52" s="90" t="s">
        <v>64</v>
      </c>
      <c r="C52" s="90">
        <v>16</v>
      </c>
      <c r="D52" s="88" t="s">
        <v>59</v>
      </c>
      <c r="E52" s="57" t="s">
        <v>10</v>
      </c>
      <c r="F52" s="57"/>
      <c r="G52" s="58" t="s">
        <v>11</v>
      </c>
      <c r="H52" s="60"/>
      <c r="I52" s="81"/>
    </row>
    <row r="53" spans="1:9">
      <c r="A53" s="87"/>
      <c r="B53" s="71" t="s">
        <v>65</v>
      </c>
      <c r="C53" s="89">
        <f>(C52*60*C50*1000*C51)/(3600*102*0.9*0.98*9.8)</f>
        <v>27.8267013532548</v>
      </c>
      <c r="D53" s="88" t="s">
        <v>66</v>
      </c>
      <c r="E53" s="68" t="s">
        <v>20</v>
      </c>
      <c r="F53" s="68" t="s">
        <v>98</v>
      </c>
      <c r="G53" s="58" t="s">
        <v>22</v>
      </c>
      <c r="H53" s="60"/>
      <c r="I53" s="60"/>
    </row>
    <row r="54" spans="1:9">
      <c r="A54" s="92"/>
      <c r="B54" s="122" t="s">
        <v>68</v>
      </c>
      <c r="C54" s="122">
        <v>30</v>
      </c>
      <c r="D54" s="93" t="s">
        <v>66</v>
      </c>
      <c r="E54" s="57" t="s">
        <v>10</v>
      </c>
      <c r="F54" s="57"/>
      <c r="G54" s="58" t="s">
        <v>11</v>
      </c>
      <c r="H54" s="60"/>
      <c r="I54" s="60"/>
    </row>
    <row r="55" spans="1:9">
      <c r="B55" s="123"/>
      <c r="C55" s="123"/>
      <c r="D55" s="86"/>
      <c r="E55" s="80"/>
      <c r="F55" s="80"/>
      <c r="G55" s="80"/>
      <c r="H55" s="60"/>
      <c r="I55" s="60"/>
    </row>
    <row r="56" spans="1:9">
      <c r="A56" s="124" t="s">
        <v>99</v>
      </c>
      <c r="B56" s="96" t="s">
        <v>72</v>
      </c>
      <c r="C56" s="96" t="s">
        <v>100</v>
      </c>
      <c r="D56" s="97"/>
      <c r="E56" s="49" t="s">
        <v>74</v>
      </c>
      <c r="G56" s="49" t="s">
        <v>75</v>
      </c>
      <c r="I56" s="60"/>
    </row>
    <row r="57" spans="1:9">
      <c r="A57" s="125"/>
      <c r="B57" s="99" t="s">
        <v>76</v>
      </c>
      <c r="C57" s="99" t="s">
        <v>77</v>
      </c>
      <c r="D57" s="100"/>
      <c r="E57" s="49" t="s">
        <v>74</v>
      </c>
      <c r="G57" s="49" t="s">
        <v>75</v>
      </c>
      <c r="I57" s="60"/>
    </row>
    <row r="58" spans="1:9">
      <c r="A58" s="125"/>
      <c r="B58" s="102" t="s">
        <v>78</v>
      </c>
      <c r="C58" s="102">
        <v>8</v>
      </c>
      <c r="D58" s="100" t="s">
        <v>24</v>
      </c>
      <c r="E58" s="57" t="s">
        <v>10</v>
      </c>
      <c r="F58" s="57"/>
      <c r="G58" s="58" t="s">
        <v>11</v>
      </c>
      <c r="I58" s="60"/>
    </row>
    <row r="59" spans="1:9">
      <c r="A59" s="125"/>
      <c r="B59" s="104" t="s">
        <v>79</v>
      </c>
      <c r="C59" s="104">
        <f>SQRT(C52*60/3600/C58/3.14*4)*1000</f>
        <v>206.065147491311</v>
      </c>
      <c r="D59" s="100" t="s">
        <v>26</v>
      </c>
      <c r="E59" s="68" t="s">
        <v>20</v>
      </c>
      <c r="F59" s="68" t="s">
        <v>101</v>
      </c>
      <c r="G59" s="58" t="s">
        <v>22</v>
      </c>
      <c r="I59" s="60"/>
    </row>
    <row r="60" spans="1:9">
      <c r="A60" s="125"/>
      <c r="B60" s="106" t="s">
        <v>81</v>
      </c>
      <c r="C60" s="106">
        <v>200</v>
      </c>
      <c r="D60" s="100"/>
      <c r="G60" s="58" t="s">
        <v>22</v>
      </c>
      <c r="I60" s="60"/>
    </row>
    <row r="61" spans="1:9">
      <c r="A61" s="126"/>
      <c r="B61" s="109" t="s">
        <v>82</v>
      </c>
      <c r="C61" s="109">
        <f>C52*60/3600/(C60/1000*C60/1000*3.14/4)</f>
        <v>8.49256900212314</v>
      </c>
      <c r="D61" s="110"/>
      <c r="E61" s="68" t="s">
        <v>20</v>
      </c>
      <c r="F61" s="57" t="s">
        <v>102</v>
      </c>
      <c r="G61" s="58" t="s">
        <v>11</v>
      </c>
      <c r="H61" s="113"/>
    </row>
    <row r="62" spans="1:9">
      <c r="A62" s="80"/>
      <c r="B62" s="47"/>
      <c r="C62" s="47"/>
      <c r="D62" s="111"/>
      <c r="H62" s="111"/>
    </row>
    <row r="63" spans="1:9">
      <c r="A63" s="127" t="s">
        <v>103</v>
      </c>
      <c r="B63" s="128" t="s">
        <v>104</v>
      </c>
      <c r="C63" s="128" t="s">
        <v>105</v>
      </c>
      <c r="D63" s="129"/>
      <c r="E63" s="49" t="s">
        <v>74</v>
      </c>
      <c r="G63" s="49" t="s">
        <v>75</v>
      </c>
    </row>
    <row r="64" spans="1:9">
      <c r="A64" s="130"/>
      <c r="B64" s="131" t="s">
        <v>106</v>
      </c>
      <c r="C64" s="132">
        <v>0.9</v>
      </c>
      <c r="D64" s="133"/>
      <c r="E64" s="49" t="s">
        <v>74</v>
      </c>
      <c r="G64" s="49" t="s">
        <v>75</v>
      </c>
    </row>
    <row r="65" spans="1:9">
      <c r="A65" s="130"/>
      <c r="B65" s="61" t="s">
        <v>107</v>
      </c>
      <c r="C65" s="61">
        <v>1000</v>
      </c>
      <c r="D65" s="133"/>
      <c r="E65" s="57" t="s">
        <v>10</v>
      </c>
      <c r="F65" s="57"/>
      <c r="G65" s="58" t="s">
        <v>11</v>
      </c>
      <c r="H65" s="134"/>
    </row>
    <row r="66" spans="1:9">
      <c r="A66" s="130"/>
      <c r="B66" s="131" t="s">
        <v>108</v>
      </c>
      <c r="C66" s="135">
        <f>C13*C14*100/C64</f>
        <v>542.940538194444</v>
      </c>
      <c r="D66" s="133"/>
      <c r="E66" s="68" t="s">
        <v>20</v>
      </c>
      <c r="F66" s="68"/>
      <c r="G66" s="58" t="s">
        <v>22</v>
      </c>
      <c r="H66" s="134"/>
    </row>
    <row r="67" spans="1:9">
      <c r="A67" s="130"/>
      <c r="B67" s="61" t="s">
        <v>109</v>
      </c>
      <c r="C67" s="61">
        <v>1200</v>
      </c>
      <c r="D67" s="133"/>
      <c r="E67" s="57" t="s">
        <v>10</v>
      </c>
      <c r="F67" s="57"/>
      <c r="G67" s="58" t="s">
        <v>11</v>
      </c>
      <c r="H67" s="134"/>
    </row>
    <row r="68" spans="1:9">
      <c r="A68" s="130"/>
      <c r="B68" s="61" t="s">
        <v>110</v>
      </c>
      <c r="C68" s="102">
        <v>2</v>
      </c>
      <c r="D68" s="100" t="s">
        <v>111</v>
      </c>
      <c r="E68" s="57" t="s">
        <v>10</v>
      </c>
      <c r="F68" s="57"/>
      <c r="G68" s="58" t="s">
        <v>11</v>
      </c>
    </row>
    <row r="69" spans="1:9">
      <c r="A69" s="130"/>
      <c r="B69" s="120" t="s">
        <v>112</v>
      </c>
      <c r="C69" s="136">
        <v>8</v>
      </c>
      <c r="D69" s="100" t="s">
        <v>113</v>
      </c>
      <c r="E69" s="57" t="s">
        <v>10</v>
      </c>
      <c r="F69" s="57"/>
      <c r="G69" s="58" t="s">
        <v>11</v>
      </c>
    </row>
    <row r="70" spans="1:9">
      <c r="A70" s="130"/>
      <c r="B70" s="61" t="s">
        <v>114</v>
      </c>
      <c r="C70" s="61">
        <v>1</v>
      </c>
      <c r="D70" s="88" t="s">
        <v>30</v>
      </c>
      <c r="E70" s="57" t="s">
        <v>10</v>
      </c>
      <c r="F70" s="57"/>
      <c r="G70" s="58" t="s">
        <v>11</v>
      </c>
      <c r="H70" s="60"/>
    </row>
    <row r="71" spans="1:9">
      <c r="A71" s="130"/>
      <c r="B71" s="120" t="s">
        <v>57</v>
      </c>
      <c r="C71" s="120">
        <v>1</v>
      </c>
      <c r="D71" s="88" t="s">
        <v>30</v>
      </c>
      <c r="E71" s="57" t="s">
        <v>10</v>
      </c>
      <c r="F71" s="57"/>
      <c r="G71" s="58" t="s">
        <v>11</v>
      </c>
      <c r="H71" s="60"/>
    </row>
    <row r="72" spans="1:9">
      <c r="A72" s="130"/>
      <c r="B72" s="71" t="s">
        <v>115</v>
      </c>
      <c r="C72" s="121">
        <f>C68*C66/0.2/1200/C70*24/C69</f>
        <v>13.5735134548611</v>
      </c>
      <c r="D72" s="100" t="s">
        <v>42</v>
      </c>
      <c r="E72" s="68" t="s">
        <v>20</v>
      </c>
      <c r="F72" s="68" t="s">
        <v>116</v>
      </c>
      <c r="G72" s="58" t="s">
        <v>22</v>
      </c>
    </row>
    <row r="73" spans="1:9">
      <c r="A73" s="130"/>
      <c r="B73" s="90" t="s">
        <v>61</v>
      </c>
      <c r="C73" s="90">
        <v>35</v>
      </c>
      <c r="D73" s="88" t="s">
        <v>50</v>
      </c>
      <c r="E73" s="57" t="s">
        <v>10</v>
      </c>
      <c r="F73" s="57"/>
      <c r="G73" s="58" t="s">
        <v>11</v>
      </c>
      <c r="H73" s="60"/>
    </row>
    <row r="74" spans="1:9">
      <c r="A74" s="130"/>
      <c r="B74" s="91" t="s">
        <v>62</v>
      </c>
      <c r="C74" s="91">
        <v>1.3</v>
      </c>
      <c r="D74" s="88"/>
      <c r="E74" s="57" t="s">
        <v>10</v>
      </c>
      <c r="F74" s="57"/>
      <c r="G74" s="58" t="s">
        <v>11</v>
      </c>
      <c r="H74" s="60"/>
    </row>
    <row r="75" spans="1:9">
      <c r="A75" s="130"/>
      <c r="B75" s="137" t="s">
        <v>117</v>
      </c>
      <c r="C75" s="120">
        <v>0.5</v>
      </c>
      <c r="D75" s="88"/>
      <c r="E75" s="57" t="s">
        <v>10</v>
      </c>
      <c r="F75" s="57"/>
      <c r="G75" s="58" t="s">
        <v>11</v>
      </c>
      <c r="H75" s="60"/>
    </row>
    <row r="76" ht="16.5" spans="1:9">
      <c r="A76" s="130"/>
      <c r="B76" s="90" t="s">
        <v>64</v>
      </c>
      <c r="C76" s="90">
        <v>15</v>
      </c>
      <c r="D76" s="88" t="s">
        <v>59</v>
      </c>
      <c r="E76" s="57" t="s">
        <v>10</v>
      </c>
      <c r="F76" s="57"/>
      <c r="G76" s="58" t="s">
        <v>11</v>
      </c>
      <c r="H76" s="60"/>
      <c r="I76" s="60"/>
    </row>
    <row r="77" spans="1:9">
      <c r="A77" s="130"/>
      <c r="B77" s="71" t="s">
        <v>65</v>
      </c>
      <c r="C77" s="89">
        <f>C76*C73*9.81*C67/3600/C75/0.98/1000*C74</f>
        <v>4.55464285714286</v>
      </c>
      <c r="D77" s="88" t="s">
        <v>66</v>
      </c>
      <c r="E77" s="68" t="s">
        <v>20</v>
      </c>
      <c r="F77" s="68" t="s">
        <v>118</v>
      </c>
      <c r="G77" s="58" t="s">
        <v>22</v>
      </c>
      <c r="H77" s="60"/>
      <c r="I77" s="60"/>
    </row>
    <row r="78" spans="1:9">
      <c r="A78" s="138"/>
      <c r="B78" s="122" t="s">
        <v>68</v>
      </c>
      <c r="C78" s="122">
        <v>5.5</v>
      </c>
      <c r="D78" s="93" t="s">
        <v>66</v>
      </c>
      <c r="E78" s="57" t="s">
        <v>10</v>
      </c>
      <c r="F78" s="57"/>
      <c r="G78" s="58" t="s">
        <v>11</v>
      </c>
      <c r="H78" s="86"/>
      <c r="I78" s="60"/>
    </row>
    <row r="79" spans="1:9">
      <c r="A79" s="139"/>
      <c r="B79" s="140"/>
      <c r="C79" s="140"/>
      <c r="D79" s="93"/>
      <c r="E79" s="80"/>
      <c r="F79" s="80"/>
      <c r="G79" s="80"/>
      <c r="H79" s="60"/>
      <c r="I79" s="60"/>
    </row>
    <row r="80" spans="1:9">
      <c r="A80" s="141" t="s">
        <v>119</v>
      </c>
      <c r="B80" s="120" t="s">
        <v>120</v>
      </c>
      <c r="C80" s="136">
        <v>1</v>
      </c>
      <c r="D80" s="100" t="s">
        <v>111</v>
      </c>
      <c r="E80" s="57" t="s">
        <v>10</v>
      </c>
      <c r="F80" s="57"/>
      <c r="G80" s="58" t="s">
        <v>11</v>
      </c>
    </row>
    <row r="81" spans="1:9">
      <c r="A81" s="142"/>
      <c r="B81" s="120" t="s">
        <v>112</v>
      </c>
      <c r="C81" s="136">
        <v>8</v>
      </c>
      <c r="D81" s="100" t="s">
        <v>113</v>
      </c>
      <c r="E81" s="57" t="s">
        <v>10</v>
      </c>
      <c r="F81" s="57"/>
      <c r="G81" s="58" t="s">
        <v>11</v>
      </c>
    </row>
    <row r="82" spans="1:9">
      <c r="A82" s="142"/>
      <c r="B82" s="61" t="s">
        <v>114</v>
      </c>
      <c r="C82" s="61">
        <v>1</v>
      </c>
      <c r="D82" s="88" t="s">
        <v>30</v>
      </c>
      <c r="E82" s="57" t="s">
        <v>10</v>
      </c>
      <c r="F82" s="57"/>
      <c r="G82" s="58" t="s">
        <v>11</v>
      </c>
      <c r="H82" s="60"/>
    </row>
    <row r="83" spans="1:9">
      <c r="A83" s="142"/>
      <c r="B83" s="120" t="s">
        <v>57</v>
      </c>
      <c r="C83" s="120">
        <v>1</v>
      </c>
      <c r="D83" s="88" t="s">
        <v>30</v>
      </c>
      <c r="E83" s="57" t="s">
        <v>10</v>
      </c>
      <c r="F83" s="57"/>
      <c r="G83" s="58" t="s">
        <v>11</v>
      </c>
      <c r="H83" s="60"/>
    </row>
    <row r="84" spans="1:9">
      <c r="A84" s="142"/>
      <c r="B84" s="71" t="s">
        <v>115</v>
      </c>
      <c r="C84" s="121">
        <f>C80*C66/0.2/1200/C82*24/C81</f>
        <v>6.78675672743056</v>
      </c>
      <c r="D84" s="100" t="s">
        <v>42</v>
      </c>
      <c r="E84" s="68" t="s">
        <v>20</v>
      </c>
      <c r="F84" s="68" t="s">
        <v>121</v>
      </c>
      <c r="G84" s="58" t="s">
        <v>22</v>
      </c>
    </row>
    <row r="85" spans="1:9">
      <c r="A85" s="142"/>
      <c r="B85" s="90" t="s">
        <v>61</v>
      </c>
      <c r="C85" s="90">
        <v>15</v>
      </c>
      <c r="D85" s="88" t="s">
        <v>50</v>
      </c>
      <c r="E85" s="57" t="s">
        <v>10</v>
      </c>
      <c r="F85" s="57"/>
      <c r="G85" s="58" t="s">
        <v>11</v>
      </c>
      <c r="H85" s="60"/>
    </row>
    <row r="86" spans="1:9">
      <c r="A86" s="142"/>
      <c r="B86" s="91" t="s">
        <v>62</v>
      </c>
      <c r="C86" s="91">
        <v>1.3</v>
      </c>
      <c r="D86" s="88"/>
      <c r="E86" s="57" t="s">
        <v>10</v>
      </c>
      <c r="F86" s="57"/>
      <c r="G86" s="58" t="s">
        <v>11</v>
      </c>
      <c r="H86" s="60"/>
    </row>
    <row r="87" spans="1:9">
      <c r="A87" s="142"/>
      <c r="B87" s="137" t="s">
        <v>117</v>
      </c>
      <c r="C87" s="120">
        <v>0.5</v>
      </c>
      <c r="D87" s="88"/>
      <c r="E87" s="57" t="s">
        <v>10</v>
      </c>
      <c r="F87" s="57"/>
      <c r="G87" s="58" t="s">
        <v>11</v>
      </c>
      <c r="H87" s="60"/>
    </row>
    <row r="88" ht="16.5" spans="1:9">
      <c r="A88" s="142"/>
      <c r="B88" s="90" t="s">
        <v>64</v>
      </c>
      <c r="C88" s="90">
        <v>10</v>
      </c>
      <c r="D88" s="88" t="s">
        <v>59</v>
      </c>
      <c r="E88" s="57" t="s">
        <v>10</v>
      </c>
      <c r="F88" s="57"/>
      <c r="G88" s="58" t="s">
        <v>11</v>
      </c>
      <c r="H88" s="60"/>
      <c r="I88" s="60"/>
    </row>
    <row r="89" spans="1:9">
      <c r="A89" s="142"/>
      <c r="B89" s="71" t="s">
        <v>65</v>
      </c>
      <c r="C89" s="89">
        <f>C88*C85*9.81*C67/3600/C87/0.98/1000*C86</f>
        <v>1.30132653061224</v>
      </c>
      <c r="D89" s="88" t="s">
        <v>66</v>
      </c>
      <c r="E89" s="68" t="s">
        <v>20</v>
      </c>
      <c r="F89" s="68" t="s">
        <v>122</v>
      </c>
      <c r="G89" s="58" t="s">
        <v>22</v>
      </c>
      <c r="H89" s="60"/>
      <c r="I89" s="60"/>
    </row>
    <row r="90" spans="1:9">
      <c r="A90" s="143"/>
      <c r="B90" s="122" t="s">
        <v>68</v>
      </c>
      <c r="C90" s="122">
        <v>2.2</v>
      </c>
      <c r="D90" s="93" t="s">
        <v>66</v>
      </c>
      <c r="E90" s="57" t="s">
        <v>10</v>
      </c>
      <c r="F90" s="57"/>
      <c r="G90" s="58" t="s">
        <v>11</v>
      </c>
      <c r="H90" s="86"/>
      <c r="I90" s="60"/>
    </row>
    <row r="91" spans="1:9">
      <c r="A91" s="80"/>
      <c r="B91" s="81"/>
      <c r="C91" s="81"/>
      <c r="D91" s="60"/>
      <c r="E91" s="80"/>
      <c r="F91" s="80"/>
      <c r="G91" s="80"/>
      <c r="H91" s="60"/>
      <c r="I91" s="60"/>
    </row>
    <row r="92" spans="1:9">
      <c r="A92" s="127" t="s">
        <v>123</v>
      </c>
      <c r="B92" s="84" t="s">
        <v>124</v>
      </c>
      <c r="C92" s="144">
        <f>(C66*(1-C64)+C13*(C14-1)*100+C13*172)/0.9</f>
        <v>982.798514660494</v>
      </c>
      <c r="D92" s="145"/>
      <c r="E92" s="68" t="s">
        <v>20</v>
      </c>
      <c r="F92" s="68" t="s">
        <v>125</v>
      </c>
      <c r="G92" s="58" t="s">
        <v>22</v>
      </c>
      <c r="H92" s="134"/>
    </row>
    <row r="93" spans="1:9">
      <c r="A93" s="130"/>
      <c r="B93" s="71" t="s">
        <v>126</v>
      </c>
      <c r="C93" s="89">
        <f>C95*0.1+C13*36</f>
        <v>283.7890625</v>
      </c>
      <c r="D93" s="133"/>
      <c r="E93" s="68" t="s">
        <v>20</v>
      </c>
      <c r="F93" s="68" t="s">
        <v>127</v>
      </c>
      <c r="G93" s="58" t="s">
        <v>22</v>
      </c>
      <c r="H93" s="134"/>
    </row>
    <row r="94" spans="1:9">
      <c r="A94" s="130"/>
      <c r="B94" s="120" t="s">
        <v>128</v>
      </c>
      <c r="C94" s="61">
        <v>1000</v>
      </c>
      <c r="D94" s="133"/>
      <c r="E94" s="57" t="s">
        <v>10</v>
      </c>
      <c r="F94" s="57"/>
      <c r="G94" s="58" t="s">
        <v>11</v>
      </c>
      <c r="H94" s="134"/>
    </row>
    <row r="95" spans="1:9">
      <c r="A95" s="130"/>
      <c r="B95" s="120" t="s">
        <v>129</v>
      </c>
      <c r="C95" s="61">
        <v>1130</v>
      </c>
      <c r="D95" s="133"/>
      <c r="E95" s="57" t="s">
        <v>10</v>
      </c>
      <c r="F95" s="57"/>
      <c r="G95" s="58" t="s">
        <v>11</v>
      </c>
      <c r="H95" s="134"/>
    </row>
    <row r="96" spans="1:9">
      <c r="A96" s="130"/>
      <c r="B96" s="71" t="s">
        <v>130</v>
      </c>
      <c r="C96" s="89">
        <f>C92/0.2/C95</f>
        <v>4.34866599407298</v>
      </c>
      <c r="D96" s="133"/>
      <c r="E96" s="68" t="s">
        <v>20</v>
      </c>
      <c r="F96" s="68" t="s">
        <v>131</v>
      </c>
      <c r="G96" s="58" t="s">
        <v>22</v>
      </c>
      <c r="H96" s="134"/>
    </row>
    <row r="97" spans="1:9">
      <c r="A97" s="130"/>
      <c r="B97" s="120" t="s">
        <v>132</v>
      </c>
      <c r="C97" s="136">
        <v>2</v>
      </c>
      <c r="D97" s="100" t="s">
        <v>111</v>
      </c>
      <c r="E97" s="57" t="s">
        <v>10</v>
      </c>
      <c r="F97" s="57"/>
      <c r="G97" s="58" t="s">
        <v>11</v>
      </c>
    </row>
    <row r="98" spans="1:9">
      <c r="A98" s="130"/>
      <c r="B98" s="120" t="s">
        <v>112</v>
      </c>
      <c r="C98" s="136">
        <v>8</v>
      </c>
      <c r="D98" s="100" t="s">
        <v>113</v>
      </c>
      <c r="E98" s="57" t="s">
        <v>10</v>
      </c>
      <c r="F98" s="57"/>
      <c r="G98" s="58" t="s">
        <v>11</v>
      </c>
    </row>
    <row r="99" spans="1:9">
      <c r="A99" s="130"/>
      <c r="B99" s="61" t="s">
        <v>114</v>
      </c>
      <c r="C99" s="61">
        <v>1</v>
      </c>
      <c r="D99" s="88" t="s">
        <v>30</v>
      </c>
      <c r="E99" s="57" t="s">
        <v>10</v>
      </c>
      <c r="F99" s="57"/>
      <c r="G99" s="58" t="s">
        <v>11</v>
      </c>
      <c r="H99" s="60"/>
    </row>
    <row r="100" spans="1:9">
      <c r="A100" s="130"/>
      <c r="B100" s="120" t="s">
        <v>57</v>
      </c>
      <c r="C100" s="120">
        <v>1</v>
      </c>
      <c r="D100" s="88" t="s">
        <v>30</v>
      </c>
      <c r="E100" s="57" t="s">
        <v>10</v>
      </c>
      <c r="F100" s="57"/>
      <c r="G100" s="58" t="s">
        <v>11</v>
      </c>
      <c r="H100" s="60"/>
    </row>
    <row r="101" spans="1:9">
      <c r="A101" s="130"/>
      <c r="B101" s="71" t="s">
        <v>115</v>
      </c>
      <c r="C101" s="121">
        <f>C96*24/C98/C99</f>
        <v>13.0459979822189</v>
      </c>
      <c r="D101" s="100" t="s">
        <v>42</v>
      </c>
      <c r="E101" s="68" t="s">
        <v>20</v>
      </c>
      <c r="F101" s="68" t="s">
        <v>133</v>
      </c>
      <c r="G101" s="58" t="s">
        <v>22</v>
      </c>
    </row>
    <row r="102" spans="1:9">
      <c r="A102" s="130"/>
      <c r="B102" s="90" t="s">
        <v>61</v>
      </c>
      <c r="C102" s="90">
        <v>20</v>
      </c>
      <c r="D102" s="88" t="s">
        <v>50</v>
      </c>
      <c r="E102" s="57" t="s">
        <v>10</v>
      </c>
      <c r="F102" s="57"/>
      <c r="G102" s="58" t="s">
        <v>11</v>
      </c>
      <c r="H102" s="60"/>
    </row>
    <row r="103" spans="1:9">
      <c r="A103" s="130"/>
      <c r="B103" s="91" t="s">
        <v>62</v>
      </c>
      <c r="C103" s="91">
        <v>1.3</v>
      </c>
      <c r="D103" s="88"/>
      <c r="E103" s="57" t="s">
        <v>10</v>
      </c>
      <c r="F103" s="57"/>
      <c r="G103" s="58" t="s">
        <v>11</v>
      </c>
      <c r="H103" s="60"/>
    </row>
    <row r="104" spans="1:9">
      <c r="A104" s="130"/>
      <c r="B104" s="137" t="s">
        <v>117</v>
      </c>
      <c r="C104" s="120">
        <v>0.5</v>
      </c>
      <c r="D104" s="88"/>
      <c r="E104" s="57" t="s">
        <v>10</v>
      </c>
      <c r="F104" s="57"/>
      <c r="G104" s="58" t="s">
        <v>11</v>
      </c>
      <c r="H104" s="60"/>
    </row>
    <row r="105" ht="16.5" spans="1:9">
      <c r="A105" s="130"/>
      <c r="B105" s="90" t="s">
        <v>64</v>
      </c>
      <c r="C105" s="90">
        <v>15</v>
      </c>
      <c r="D105" s="88" t="s">
        <v>59</v>
      </c>
      <c r="E105" s="57" t="s">
        <v>10</v>
      </c>
      <c r="F105" s="57"/>
      <c r="G105" s="58" t="s">
        <v>11</v>
      </c>
      <c r="H105" s="60"/>
      <c r="I105" s="60"/>
    </row>
    <row r="106" spans="1:9">
      <c r="A106" s="130"/>
      <c r="B106" s="71" t="s">
        <v>65</v>
      </c>
      <c r="C106" s="89">
        <f>C105*C102*9.81*C95/3600/C104/0.98/1000*C103</f>
        <v>2.45083163265306</v>
      </c>
      <c r="D106" s="88" t="s">
        <v>66</v>
      </c>
      <c r="E106" s="68" t="s">
        <v>20</v>
      </c>
      <c r="F106" s="68" t="s">
        <v>134</v>
      </c>
      <c r="G106" s="58" t="s">
        <v>22</v>
      </c>
      <c r="H106" s="60"/>
      <c r="I106" s="60"/>
    </row>
    <row r="107" spans="1:9">
      <c r="A107" s="138"/>
      <c r="B107" s="122" t="s">
        <v>68</v>
      </c>
      <c r="C107" s="122">
        <v>5.5</v>
      </c>
      <c r="D107" s="93" t="s">
        <v>66</v>
      </c>
      <c r="E107" s="57" t="s">
        <v>10</v>
      </c>
      <c r="F107" s="57"/>
      <c r="G107" s="58" t="s">
        <v>11</v>
      </c>
      <c r="H107" s="86"/>
      <c r="I107" s="60"/>
    </row>
    <row r="108" spans="1:9">
      <c r="A108" s="146"/>
      <c r="B108" s="147"/>
      <c r="C108" s="147"/>
      <c r="D108" s="148"/>
      <c r="E108" s="149"/>
      <c r="F108" s="149"/>
      <c r="G108" s="149"/>
      <c r="H108" s="134"/>
    </row>
    <row r="109" spans="1:9">
      <c r="A109" s="141" t="s">
        <v>135</v>
      </c>
      <c r="B109" s="120" t="s">
        <v>136</v>
      </c>
      <c r="C109" s="136">
        <v>1</v>
      </c>
      <c r="D109" s="100" t="s">
        <v>111</v>
      </c>
      <c r="E109" s="57" t="s">
        <v>10</v>
      </c>
      <c r="F109" s="57"/>
      <c r="G109" s="58" t="s">
        <v>11</v>
      </c>
    </row>
    <row r="110" spans="1:9">
      <c r="A110" s="142"/>
      <c r="B110" s="120" t="s">
        <v>112</v>
      </c>
      <c r="C110" s="136">
        <v>8</v>
      </c>
      <c r="D110" s="100" t="s">
        <v>113</v>
      </c>
      <c r="E110" s="57" t="s">
        <v>10</v>
      </c>
      <c r="F110" s="57"/>
      <c r="G110" s="58" t="s">
        <v>11</v>
      </c>
    </row>
    <row r="111" spans="1:9">
      <c r="A111" s="142"/>
      <c r="B111" s="61" t="s">
        <v>114</v>
      </c>
      <c r="C111" s="61">
        <v>1</v>
      </c>
      <c r="D111" s="88" t="s">
        <v>30</v>
      </c>
      <c r="E111" s="57" t="s">
        <v>10</v>
      </c>
      <c r="F111" s="57"/>
      <c r="G111" s="58" t="s">
        <v>11</v>
      </c>
      <c r="H111" s="60"/>
    </row>
    <row r="112" spans="1:9">
      <c r="A112" s="142"/>
      <c r="B112" s="120" t="s">
        <v>57</v>
      </c>
      <c r="C112" s="120">
        <v>1</v>
      </c>
      <c r="D112" s="88" t="s">
        <v>30</v>
      </c>
      <c r="E112" s="57" t="s">
        <v>10</v>
      </c>
      <c r="F112" s="57"/>
      <c r="G112" s="58" t="s">
        <v>11</v>
      </c>
      <c r="H112" s="60"/>
    </row>
    <row r="113" spans="1:9">
      <c r="A113" s="142"/>
      <c r="B113" s="71" t="s">
        <v>115</v>
      </c>
      <c r="C113" s="121">
        <f>C96*24/C110/C111</f>
        <v>13.0459979822189</v>
      </c>
      <c r="D113" s="100" t="s">
        <v>42</v>
      </c>
      <c r="E113" s="68" t="s">
        <v>20</v>
      </c>
      <c r="F113" s="68" t="s">
        <v>137</v>
      </c>
      <c r="G113" s="58" t="s">
        <v>22</v>
      </c>
    </row>
    <row r="114" spans="1:9">
      <c r="A114" s="142"/>
      <c r="B114" s="90" t="s">
        <v>61</v>
      </c>
      <c r="C114" s="90">
        <v>10</v>
      </c>
      <c r="D114" s="88" t="s">
        <v>50</v>
      </c>
      <c r="E114" s="57" t="s">
        <v>10</v>
      </c>
      <c r="F114" s="57"/>
      <c r="G114" s="58" t="s">
        <v>11</v>
      </c>
      <c r="H114" s="60"/>
    </row>
    <row r="115" spans="1:9">
      <c r="A115" s="142"/>
      <c r="B115" s="91" t="s">
        <v>62</v>
      </c>
      <c r="C115" s="91">
        <v>1.3</v>
      </c>
      <c r="D115" s="88"/>
      <c r="E115" s="57" t="s">
        <v>10</v>
      </c>
      <c r="F115" s="57"/>
      <c r="G115" s="58" t="s">
        <v>11</v>
      </c>
      <c r="H115" s="60"/>
    </row>
    <row r="116" spans="1:9">
      <c r="A116" s="142"/>
      <c r="B116" s="137" t="s">
        <v>117</v>
      </c>
      <c r="C116" s="120">
        <v>0.5</v>
      </c>
      <c r="D116" s="88"/>
      <c r="E116" s="57" t="s">
        <v>10</v>
      </c>
      <c r="F116" s="57"/>
      <c r="G116" s="58" t="s">
        <v>11</v>
      </c>
      <c r="H116" s="60"/>
    </row>
    <row r="117" ht="16.5" spans="1:9">
      <c r="A117" s="142"/>
      <c r="B117" s="90" t="s">
        <v>64</v>
      </c>
      <c r="C117" s="90">
        <v>15</v>
      </c>
      <c r="D117" s="88" t="s">
        <v>59</v>
      </c>
      <c r="E117" s="57" t="s">
        <v>10</v>
      </c>
      <c r="F117" s="57"/>
      <c r="G117" s="58" t="s">
        <v>11</v>
      </c>
      <c r="H117" s="60"/>
      <c r="I117" s="81"/>
    </row>
    <row r="118" spans="1:9">
      <c r="A118" s="142"/>
      <c r="B118" s="71" t="s">
        <v>65</v>
      </c>
      <c r="C118" s="89">
        <f>C117*C114*9.81*C95/3600/C116/0.98/1000*C115</f>
        <v>1.22541581632653</v>
      </c>
      <c r="D118" s="88" t="s">
        <v>66</v>
      </c>
      <c r="E118" s="68" t="s">
        <v>20</v>
      </c>
      <c r="F118" s="68" t="s">
        <v>138</v>
      </c>
      <c r="G118" s="58" t="s">
        <v>22</v>
      </c>
      <c r="H118" s="60"/>
      <c r="I118" s="81"/>
    </row>
    <row r="119" spans="1:9">
      <c r="A119" s="143"/>
      <c r="B119" s="122" t="s">
        <v>68</v>
      </c>
      <c r="C119" s="122">
        <v>2.2</v>
      </c>
      <c r="D119" s="93" t="s">
        <v>66</v>
      </c>
      <c r="E119" s="80"/>
      <c r="F119" s="80"/>
      <c r="G119" s="80"/>
      <c r="H119" s="86"/>
      <c r="I119" s="81"/>
    </row>
    <row r="120" spans="1:9">
      <c r="I120" s="47"/>
    </row>
    <row r="121" spans="1:9">
      <c r="A121" s="124" t="s">
        <v>139</v>
      </c>
      <c r="B121" s="119" t="s">
        <v>140</v>
      </c>
      <c r="C121" s="119">
        <v>5.7</v>
      </c>
      <c r="D121" s="85"/>
      <c r="E121" s="57" t="s">
        <v>10</v>
      </c>
      <c r="F121" s="57"/>
      <c r="G121" s="58" t="s">
        <v>11</v>
      </c>
      <c r="H121" s="60"/>
      <c r="I121" s="47"/>
    </row>
    <row r="122" spans="1:9">
      <c r="A122" s="125"/>
      <c r="B122" s="61" t="s">
        <v>141</v>
      </c>
      <c r="C122" s="61">
        <v>3</v>
      </c>
      <c r="D122" s="88"/>
      <c r="E122" s="57" t="s">
        <v>10</v>
      </c>
      <c r="F122" s="57"/>
      <c r="G122" s="58" t="s">
        <v>11</v>
      </c>
      <c r="H122" s="60"/>
      <c r="I122" s="47"/>
    </row>
    <row r="123" spans="1:9">
      <c r="A123" s="125"/>
      <c r="B123" s="61" t="s">
        <v>114</v>
      </c>
      <c r="C123" s="61">
        <v>1</v>
      </c>
      <c r="D123" s="88" t="s">
        <v>30</v>
      </c>
      <c r="E123" s="57" t="s">
        <v>10</v>
      </c>
      <c r="F123" s="57"/>
      <c r="G123" s="58" t="s">
        <v>11</v>
      </c>
      <c r="H123" s="60"/>
      <c r="I123" s="47"/>
    </row>
    <row r="124" spans="1:9">
      <c r="A124" s="125"/>
      <c r="B124" s="120" t="s">
        <v>57</v>
      </c>
      <c r="C124" s="120">
        <v>1</v>
      </c>
      <c r="D124" s="88" t="s">
        <v>30</v>
      </c>
      <c r="E124" s="57" t="s">
        <v>10</v>
      </c>
      <c r="F124" s="57"/>
      <c r="G124" s="58" t="s">
        <v>11</v>
      </c>
      <c r="H124" s="60"/>
      <c r="I124" s="47"/>
    </row>
    <row r="125" spans="1:9">
      <c r="A125" s="125"/>
      <c r="B125" s="71" t="s">
        <v>115</v>
      </c>
      <c r="C125" s="121">
        <f>C96*C122*24/C121/C123</f>
        <v>54.9305178198692</v>
      </c>
      <c r="D125" s="100" t="s">
        <v>42</v>
      </c>
      <c r="E125" s="68" t="s">
        <v>20</v>
      </c>
      <c r="F125" s="68" t="s">
        <v>142</v>
      </c>
      <c r="G125" s="58" t="s">
        <v>22</v>
      </c>
      <c r="I125" s="47"/>
    </row>
    <row r="126" spans="1:9">
      <c r="A126" s="125"/>
      <c r="B126" s="90" t="s">
        <v>61</v>
      </c>
      <c r="C126" s="90">
        <v>40</v>
      </c>
      <c r="D126" s="88" t="s">
        <v>50</v>
      </c>
      <c r="E126" s="57" t="s">
        <v>10</v>
      </c>
      <c r="F126" s="57"/>
      <c r="G126" s="58" t="s">
        <v>11</v>
      </c>
      <c r="H126" s="60"/>
      <c r="I126" s="47"/>
    </row>
    <row r="127" spans="1:9">
      <c r="A127" s="125"/>
      <c r="B127" s="91" t="s">
        <v>62</v>
      </c>
      <c r="C127" s="91">
        <v>1.3</v>
      </c>
      <c r="D127" s="88"/>
      <c r="E127" s="57" t="s">
        <v>10</v>
      </c>
      <c r="F127" s="57"/>
      <c r="G127" s="58" t="s">
        <v>11</v>
      </c>
      <c r="H127" s="60"/>
      <c r="I127" s="47"/>
    </row>
    <row r="128" spans="1:9">
      <c r="A128" s="125"/>
      <c r="B128" s="137" t="s">
        <v>117</v>
      </c>
      <c r="C128" s="120">
        <v>0.5</v>
      </c>
      <c r="D128" s="88"/>
      <c r="E128" s="57" t="s">
        <v>10</v>
      </c>
      <c r="F128" s="57"/>
      <c r="G128" s="58" t="s">
        <v>11</v>
      </c>
      <c r="H128" s="60"/>
      <c r="I128" s="47"/>
    </row>
    <row r="129" ht="16.5" spans="1:9">
      <c r="A129" s="125"/>
      <c r="B129" s="90" t="s">
        <v>64</v>
      </c>
      <c r="C129" s="90">
        <v>55</v>
      </c>
      <c r="D129" s="88" t="s">
        <v>59</v>
      </c>
      <c r="E129" s="57" t="s">
        <v>10</v>
      </c>
      <c r="F129" s="57"/>
      <c r="G129" s="58" t="s">
        <v>11</v>
      </c>
      <c r="H129" s="60"/>
      <c r="I129" s="81"/>
    </row>
    <row r="130" spans="1:9">
      <c r="A130" s="125"/>
      <c r="B130" s="71" t="s">
        <v>65</v>
      </c>
      <c r="C130" s="89">
        <f>C129*C126*9.81*C95/3600/C128/0.98/1000*C127</f>
        <v>17.9727653061225</v>
      </c>
      <c r="D130" s="88" t="s">
        <v>66</v>
      </c>
      <c r="E130" s="68" t="s">
        <v>20</v>
      </c>
      <c r="F130" s="68" t="s">
        <v>143</v>
      </c>
      <c r="G130" s="58" t="s">
        <v>22</v>
      </c>
      <c r="H130" s="60"/>
      <c r="I130" s="81"/>
    </row>
    <row r="131" spans="1:9">
      <c r="A131" s="126"/>
      <c r="B131" s="122" t="s">
        <v>68</v>
      </c>
      <c r="C131" s="122">
        <v>18.5</v>
      </c>
      <c r="D131" s="93" t="s">
        <v>66</v>
      </c>
      <c r="E131" s="57" t="s">
        <v>10</v>
      </c>
      <c r="F131" s="57"/>
      <c r="G131" s="58" t="s">
        <v>11</v>
      </c>
      <c r="H131" s="86"/>
      <c r="I131" s="81"/>
    </row>
    <row r="132" spans="1:9">
      <c r="A132" s="80"/>
      <c r="B132" s="81"/>
      <c r="C132" s="81"/>
      <c r="D132" s="86"/>
      <c r="E132" s="80"/>
      <c r="F132" s="80"/>
      <c r="G132" s="80"/>
      <c r="H132" s="86"/>
      <c r="I132" s="81"/>
    </row>
    <row r="133" spans="1:9">
      <c r="A133" s="127" t="s">
        <v>144</v>
      </c>
      <c r="B133" s="119" t="s">
        <v>145</v>
      </c>
      <c r="C133" s="150">
        <v>1000</v>
      </c>
      <c r="D133" s="85" t="s">
        <v>146</v>
      </c>
      <c r="E133" s="57" t="s">
        <v>10</v>
      </c>
      <c r="F133" s="57"/>
      <c r="G133" s="58" t="s">
        <v>11</v>
      </c>
      <c r="H133" s="86"/>
      <c r="I133" s="81"/>
    </row>
    <row r="134" spans="1:9">
      <c r="A134" s="130"/>
      <c r="B134" s="61" t="s">
        <v>141</v>
      </c>
      <c r="C134" s="61">
        <v>2</v>
      </c>
      <c r="D134" s="88"/>
      <c r="E134" s="57" t="s">
        <v>10</v>
      </c>
      <c r="F134" s="57"/>
      <c r="G134" s="58" t="s">
        <v>11</v>
      </c>
      <c r="H134" s="60"/>
      <c r="I134" s="47"/>
    </row>
    <row r="135" spans="1:9">
      <c r="A135" s="130"/>
      <c r="B135" s="61" t="s">
        <v>114</v>
      </c>
      <c r="C135" s="61">
        <v>1</v>
      </c>
      <c r="D135" s="88" t="s">
        <v>30</v>
      </c>
      <c r="E135" s="57" t="s">
        <v>10</v>
      </c>
      <c r="F135" s="57"/>
      <c r="G135" s="58" t="s">
        <v>11</v>
      </c>
      <c r="H135" s="60"/>
      <c r="I135" s="47"/>
    </row>
    <row r="136" spans="1:9">
      <c r="A136" s="130"/>
      <c r="B136" s="120" t="s">
        <v>57</v>
      </c>
      <c r="C136" s="120">
        <v>1</v>
      </c>
      <c r="D136" s="88" t="s">
        <v>30</v>
      </c>
      <c r="E136" s="57" t="s">
        <v>10</v>
      </c>
      <c r="F136" s="57"/>
      <c r="G136" s="58" t="s">
        <v>11</v>
      </c>
      <c r="H136" s="60"/>
      <c r="I136" s="47"/>
    </row>
    <row r="137" spans="1:9">
      <c r="A137" s="130"/>
      <c r="B137" s="71" t="s">
        <v>115</v>
      </c>
      <c r="C137" s="121">
        <f>(C125*C95/1000*0.8*0.9+5)</f>
        <v>49.6914692982456</v>
      </c>
      <c r="D137" s="100" t="s">
        <v>42</v>
      </c>
      <c r="E137" s="68" t="s">
        <v>20</v>
      </c>
      <c r="F137" s="68" t="s">
        <v>147</v>
      </c>
      <c r="G137" s="58" t="s">
        <v>22</v>
      </c>
      <c r="I137" s="47"/>
    </row>
    <row r="138" spans="1:9">
      <c r="A138" s="130"/>
      <c r="B138" s="90" t="s">
        <v>61</v>
      </c>
      <c r="C138" s="90">
        <v>35</v>
      </c>
      <c r="D138" s="88" t="s">
        <v>50</v>
      </c>
      <c r="E138" s="57" t="s">
        <v>10</v>
      </c>
      <c r="F138" s="57"/>
      <c r="G138" s="58" t="s">
        <v>11</v>
      </c>
      <c r="H138" s="60"/>
      <c r="I138" s="47"/>
    </row>
    <row r="139" spans="1:9">
      <c r="A139" s="130"/>
      <c r="B139" s="91" t="s">
        <v>62</v>
      </c>
      <c r="C139" s="91">
        <v>1.3</v>
      </c>
      <c r="D139" s="88"/>
      <c r="E139" s="57" t="s">
        <v>10</v>
      </c>
      <c r="F139" s="57"/>
      <c r="G139" s="58" t="s">
        <v>11</v>
      </c>
      <c r="H139" s="60"/>
      <c r="I139" s="47"/>
    </row>
    <row r="140" spans="1:9">
      <c r="A140" s="130"/>
      <c r="B140" s="137" t="s">
        <v>117</v>
      </c>
      <c r="C140" s="120">
        <v>0.5</v>
      </c>
      <c r="D140" s="88"/>
      <c r="E140" s="57" t="s">
        <v>10</v>
      </c>
      <c r="F140" s="57"/>
      <c r="G140" s="58" t="s">
        <v>11</v>
      </c>
      <c r="H140" s="60"/>
      <c r="I140" s="47"/>
    </row>
    <row r="141" ht="16.5" spans="1:9">
      <c r="A141" s="130"/>
      <c r="B141" s="90" t="s">
        <v>64</v>
      </c>
      <c r="C141" s="90">
        <v>50</v>
      </c>
      <c r="D141" s="88" t="s">
        <v>59</v>
      </c>
      <c r="E141" s="57" t="s">
        <v>10</v>
      </c>
      <c r="F141" s="57"/>
      <c r="G141" s="58" t="s">
        <v>11</v>
      </c>
      <c r="H141" s="60"/>
      <c r="I141" s="81"/>
    </row>
    <row r="142" spans="1:9">
      <c r="A142" s="130"/>
      <c r="B142" s="71" t="s">
        <v>65</v>
      </c>
      <c r="C142" s="89">
        <f>C141*C138*9.81*C133/3600/C140/0.98/1000*C139</f>
        <v>12.6517857142857</v>
      </c>
      <c r="D142" s="88" t="s">
        <v>66</v>
      </c>
      <c r="E142" s="68" t="s">
        <v>20</v>
      </c>
      <c r="F142" s="68" t="s">
        <v>148</v>
      </c>
      <c r="G142" s="58" t="s">
        <v>22</v>
      </c>
      <c r="H142" s="60"/>
      <c r="I142" s="60"/>
    </row>
    <row r="143" spans="1:9">
      <c r="A143" s="151"/>
      <c r="B143" s="122" t="s">
        <v>68</v>
      </c>
      <c r="C143" s="122">
        <v>15</v>
      </c>
      <c r="D143" s="93" t="s">
        <v>66</v>
      </c>
      <c r="E143" s="57" t="s">
        <v>10</v>
      </c>
      <c r="F143" s="57"/>
      <c r="G143" s="58" t="s">
        <v>11</v>
      </c>
      <c r="H143" s="86"/>
      <c r="I143" s="60"/>
    </row>
    <row r="144" spans="1:9">
      <c r="B144" s="60"/>
    </row>
    <row r="145" spans="1:9">
      <c r="A145" s="152" t="s">
        <v>149</v>
      </c>
      <c r="B145" s="119" t="s">
        <v>141</v>
      </c>
      <c r="C145" s="119">
        <v>1</v>
      </c>
      <c r="D145" s="85"/>
      <c r="E145" s="57" t="s">
        <v>10</v>
      </c>
      <c r="F145" s="57"/>
      <c r="G145" s="58" t="s">
        <v>11</v>
      </c>
      <c r="H145" s="60"/>
    </row>
    <row r="146" spans="1:9">
      <c r="A146" s="125"/>
      <c r="B146" s="61" t="s">
        <v>114</v>
      </c>
      <c r="C146" s="61">
        <v>1</v>
      </c>
      <c r="D146" s="88" t="s">
        <v>30</v>
      </c>
      <c r="E146" s="57" t="s">
        <v>10</v>
      </c>
      <c r="F146" s="57"/>
      <c r="G146" s="58" t="s">
        <v>11</v>
      </c>
      <c r="H146" s="60"/>
    </row>
    <row r="147" spans="1:9">
      <c r="A147" s="125"/>
      <c r="B147" s="120" t="s">
        <v>57</v>
      </c>
      <c r="C147" s="120">
        <v>1</v>
      </c>
      <c r="D147" s="88" t="s">
        <v>30</v>
      </c>
      <c r="E147" s="57" t="s">
        <v>10</v>
      </c>
      <c r="F147" s="57"/>
      <c r="G147" s="58" t="s">
        <v>11</v>
      </c>
      <c r="H147" s="60"/>
    </row>
    <row r="148" spans="1:9">
      <c r="A148" s="125"/>
      <c r="B148" s="71" t="s">
        <v>115</v>
      </c>
      <c r="C148" s="121">
        <f>(C125*C95/1000*0.8*0.9+5)</f>
        <v>49.6914692982456</v>
      </c>
      <c r="D148" s="100" t="s">
        <v>42</v>
      </c>
      <c r="E148" s="68" t="s">
        <v>20</v>
      </c>
      <c r="F148" s="68" t="s">
        <v>147</v>
      </c>
      <c r="G148" s="58" t="s">
        <v>22</v>
      </c>
    </row>
    <row r="149" spans="1:9">
      <c r="A149" s="125"/>
      <c r="B149" s="90" t="s">
        <v>61</v>
      </c>
      <c r="C149" s="90">
        <v>15</v>
      </c>
      <c r="D149" s="88" t="s">
        <v>50</v>
      </c>
      <c r="E149" s="57" t="s">
        <v>10</v>
      </c>
      <c r="F149" s="57"/>
      <c r="G149" s="58" t="s">
        <v>11</v>
      </c>
      <c r="H149" s="60"/>
    </row>
    <row r="150" spans="1:9">
      <c r="A150" s="125"/>
      <c r="B150" s="91" t="s">
        <v>62</v>
      </c>
      <c r="C150" s="91">
        <v>1.3</v>
      </c>
      <c r="D150" s="88"/>
      <c r="E150" s="57" t="s">
        <v>10</v>
      </c>
      <c r="F150" s="57"/>
      <c r="G150" s="58" t="s">
        <v>11</v>
      </c>
      <c r="H150" s="60"/>
    </row>
    <row r="151" spans="1:9">
      <c r="A151" s="125"/>
      <c r="B151" s="137" t="s">
        <v>117</v>
      </c>
      <c r="C151" s="120">
        <v>0.5</v>
      </c>
      <c r="D151" s="88"/>
      <c r="E151" s="57" t="s">
        <v>10</v>
      </c>
      <c r="F151" s="57"/>
      <c r="G151" s="58" t="s">
        <v>11</v>
      </c>
      <c r="H151" s="60"/>
    </row>
    <row r="152" ht="16.5" spans="1:9">
      <c r="A152" s="125"/>
      <c r="B152" s="90" t="s">
        <v>64</v>
      </c>
      <c r="C152" s="90">
        <v>50</v>
      </c>
      <c r="D152" s="88" t="s">
        <v>59</v>
      </c>
      <c r="E152" s="57" t="s">
        <v>10</v>
      </c>
      <c r="F152" s="57"/>
      <c r="G152" s="58" t="s">
        <v>11</v>
      </c>
      <c r="H152" s="60"/>
      <c r="I152" s="81"/>
    </row>
    <row r="153" spans="1:9">
      <c r="A153" s="125"/>
      <c r="B153" s="71" t="s">
        <v>65</v>
      </c>
      <c r="C153" s="89">
        <f>C152*C149*9.81*C133/3600/C151/0.98/1000*C150</f>
        <v>5.42219387755102</v>
      </c>
      <c r="D153" s="88" t="s">
        <v>66</v>
      </c>
      <c r="E153" s="68" t="s">
        <v>20</v>
      </c>
      <c r="F153" s="68" t="s">
        <v>150</v>
      </c>
      <c r="G153" s="58" t="s">
        <v>22</v>
      </c>
      <c r="H153" s="60"/>
      <c r="I153" s="81"/>
    </row>
    <row r="154" spans="1:9">
      <c r="A154" s="126"/>
      <c r="B154" s="122" t="s">
        <v>68</v>
      </c>
      <c r="C154" s="122">
        <v>7.5</v>
      </c>
      <c r="D154" s="93" t="s">
        <v>66</v>
      </c>
      <c r="E154" s="57" t="s">
        <v>10</v>
      </c>
      <c r="F154" s="57"/>
      <c r="G154" s="58" t="s">
        <v>11</v>
      </c>
      <c r="H154" s="86"/>
      <c r="I154" s="81"/>
    </row>
    <row r="155" spans="1:9">
      <c r="A155" s="80"/>
      <c r="B155" s="81"/>
      <c r="C155" s="81"/>
      <c r="D155" s="86"/>
      <c r="E155" s="80"/>
      <c r="F155" s="80"/>
      <c r="G155" s="80"/>
      <c r="H155" s="60"/>
      <c r="I155" s="81"/>
    </row>
    <row r="156" spans="1:9">
      <c r="A156" s="127" t="s">
        <v>151</v>
      </c>
      <c r="B156" s="119" t="s">
        <v>152</v>
      </c>
      <c r="C156" s="150">
        <v>1150</v>
      </c>
      <c r="D156" s="85" t="s">
        <v>146</v>
      </c>
      <c r="E156" s="57" t="s">
        <v>10</v>
      </c>
      <c r="F156" s="57"/>
      <c r="G156" s="58" t="s">
        <v>11</v>
      </c>
      <c r="H156" s="60"/>
      <c r="I156" s="47"/>
    </row>
    <row r="157" spans="1:9">
      <c r="A157" s="130"/>
      <c r="B157" s="71" t="s">
        <v>153</v>
      </c>
      <c r="C157" s="153">
        <f>C19/8</f>
        <v>34.5915625</v>
      </c>
      <c r="D157" s="154"/>
      <c r="E157" s="68" t="s">
        <v>20</v>
      </c>
      <c r="F157" s="68" t="s">
        <v>154</v>
      </c>
      <c r="G157" s="58" t="s">
        <v>22</v>
      </c>
      <c r="H157" s="155"/>
      <c r="I157" s="47"/>
    </row>
    <row r="158" spans="1:9">
      <c r="A158" s="130"/>
      <c r="B158" s="61" t="s">
        <v>155</v>
      </c>
      <c r="C158" s="61">
        <v>1</v>
      </c>
      <c r="D158" s="88" t="s">
        <v>30</v>
      </c>
      <c r="E158" s="57" t="s">
        <v>10</v>
      </c>
      <c r="F158" s="57"/>
      <c r="G158" s="58" t="s">
        <v>11</v>
      </c>
      <c r="H158" s="60"/>
      <c r="I158" s="47"/>
    </row>
    <row r="159" spans="1:9">
      <c r="A159" s="130"/>
      <c r="B159" s="90" t="s">
        <v>61</v>
      </c>
      <c r="C159" s="90">
        <v>35</v>
      </c>
      <c r="D159" s="88" t="s">
        <v>50</v>
      </c>
      <c r="E159" s="57" t="s">
        <v>10</v>
      </c>
      <c r="F159" s="57"/>
      <c r="G159" s="58" t="s">
        <v>11</v>
      </c>
      <c r="H159" s="60"/>
      <c r="I159" s="47"/>
    </row>
    <row r="160" spans="1:9">
      <c r="A160" s="130"/>
      <c r="B160" s="91" t="s">
        <v>62</v>
      </c>
      <c r="C160" s="91">
        <v>1.3</v>
      </c>
      <c r="D160" s="88"/>
      <c r="E160" s="57" t="s">
        <v>10</v>
      </c>
      <c r="F160" s="57"/>
      <c r="G160" s="58" t="s">
        <v>11</v>
      </c>
      <c r="H160" s="60"/>
      <c r="I160" s="47"/>
    </row>
    <row r="161" spans="1:9">
      <c r="A161" s="130"/>
      <c r="B161" s="137" t="s">
        <v>117</v>
      </c>
      <c r="C161" s="120">
        <v>0.5</v>
      </c>
      <c r="D161" s="88"/>
      <c r="E161" s="57" t="s">
        <v>10</v>
      </c>
      <c r="F161" s="57"/>
      <c r="G161" s="58" t="s">
        <v>11</v>
      </c>
      <c r="H161" s="60"/>
      <c r="I161" s="47"/>
    </row>
    <row r="162" ht="16.5" spans="1:9">
      <c r="A162" s="130"/>
      <c r="B162" s="90" t="s">
        <v>64</v>
      </c>
      <c r="C162" s="90">
        <v>40</v>
      </c>
      <c r="D162" s="88" t="s">
        <v>59</v>
      </c>
      <c r="E162" s="57" t="s">
        <v>10</v>
      </c>
      <c r="F162" s="57"/>
      <c r="G162" s="58" t="s">
        <v>11</v>
      </c>
      <c r="H162" s="60"/>
      <c r="I162" s="81"/>
    </row>
    <row r="163" spans="1:9">
      <c r="A163" s="130"/>
      <c r="B163" s="71" t="s">
        <v>65</v>
      </c>
      <c r="C163" s="89">
        <f>C162*C160*9.81*C156/3600/C161/0.98/1000*C160</f>
        <v>0.432329591836735</v>
      </c>
      <c r="D163" s="88" t="s">
        <v>66</v>
      </c>
      <c r="E163" s="68" t="s">
        <v>20</v>
      </c>
      <c r="F163" s="68" t="s">
        <v>156</v>
      </c>
      <c r="G163" s="58" t="s">
        <v>22</v>
      </c>
      <c r="H163" s="60"/>
      <c r="I163" s="81"/>
    </row>
    <row r="164" spans="1:9">
      <c r="A164" s="151"/>
      <c r="B164" s="122" t="s">
        <v>68</v>
      </c>
      <c r="C164" s="122">
        <v>15</v>
      </c>
      <c r="D164" s="93" t="s">
        <v>66</v>
      </c>
      <c r="E164" s="57" t="s">
        <v>10</v>
      </c>
      <c r="F164" s="57"/>
      <c r="G164" s="58" t="s">
        <v>11</v>
      </c>
      <c r="H164" s="86"/>
      <c r="I164" s="81"/>
    </row>
    <row r="165" spans="1:9">
      <c r="B165" s="60"/>
      <c r="I165" s="47"/>
    </row>
    <row r="166" spans="1:9">
      <c r="A166" s="152" t="s">
        <v>157</v>
      </c>
      <c r="B166" s="119" t="s">
        <v>155</v>
      </c>
      <c r="C166" s="119">
        <v>1</v>
      </c>
      <c r="D166" s="85" t="s">
        <v>30</v>
      </c>
      <c r="E166" s="57" t="s">
        <v>10</v>
      </c>
      <c r="F166" s="57"/>
      <c r="G166" s="58" t="s">
        <v>11</v>
      </c>
      <c r="H166" s="60"/>
      <c r="I166" s="47"/>
    </row>
    <row r="167" spans="1:9">
      <c r="A167" s="125"/>
      <c r="B167" s="90" t="s">
        <v>61</v>
      </c>
      <c r="C167" s="90">
        <v>15</v>
      </c>
      <c r="D167" s="88" t="s">
        <v>50</v>
      </c>
      <c r="E167" s="57" t="s">
        <v>10</v>
      </c>
      <c r="F167" s="57"/>
      <c r="G167" s="58" t="s">
        <v>11</v>
      </c>
      <c r="H167" s="60"/>
      <c r="I167" s="47"/>
    </row>
    <row r="168" spans="1:9">
      <c r="A168" s="125"/>
      <c r="B168" s="91" t="s">
        <v>62</v>
      </c>
      <c r="C168" s="91">
        <v>1.3</v>
      </c>
      <c r="D168" s="88"/>
      <c r="E168" s="57" t="s">
        <v>10</v>
      </c>
      <c r="F168" s="57"/>
      <c r="G168" s="58" t="s">
        <v>11</v>
      </c>
      <c r="H168" s="60"/>
      <c r="I168" s="47"/>
    </row>
    <row r="169" spans="1:9">
      <c r="A169" s="125"/>
      <c r="B169" s="137" t="s">
        <v>117</v>
      </c>
      <c r="C169" s="120">
        <v>0.5</v>
      </c>
      <c r="D169" s="88"/>
      <c r="E169" s="57" t="s">
        <v>10</v>
      </c>
      <c r="F169" s="57"/>
      <c r="G169" s="58" t="s">
        <v>11</v>
      </c>
      <c r="H169" s="60"/>
      <c r="I169" s="47"/>
    </row>
    <row r="170" ht="16.5" spans="1:9">
      <c r="A170" s="125"/>
      <c r="B170" s="90" t="s">
        <v>64</v>
      </c>
      <c r="C170" s="90">
        <v>40</v>
      </c>
      <c r="D170" s="88" t="s">
        <v>59</v>
      </c>
      <c r="E170" s="57" t="s">
        <v>10</v>
      </c>
      <c r="F170" s="57"/>
      <c r="G170" s="58" t="s">
        <v>11</v>
      </c>
      <c r="H170" s="60"/>
      <c r="I170" s="81"/>
    </row>
    <row r="171" spans="1:9">
      <c r="A171" s="125"/>
      <c r="B171" s="71" t="s">
        <v>65</v>
      </c>
      <c r="C171" s="89">
        <f>C170*C167*9.81*C156/3600/C169/0.98/1000*C168</f>
        <v>4.98841836734694</v>
      </c>
      <c r="D171" s="88" t="s">
        <v>66</v>
      </c>
      <c r="E171" s="68" t="s">
        <v>20</v>
      </c>
      <c r="F171" s="68" t="s">
        <v>158</v>
      </c>
      <c r="G171" s="58" t="s">
        <v>22</v>
      </c>
      <c r="H171" s="60"/>
      <c r="I171" s="81"/>
    </row>
    <row r="172" spans="1:9">
      <c r="A172" s="126"/>
      <c r="B172" s="122" t="s">
        <v>68</v>
      </c>
      <c r="C172" s="122">
        <v>5.5</v>
      </c>
      <c r="D172" s="93" t="s">
        <v>66</v>
      </c>
      <c r="E172" s="57" t="s">
        <v>10</v>
      </c>
      <c r="F172" s="57"/>
      <c r="G172" s="58" t="s">
        <v>11</v>
      </c>
      <c r="H172" s="86"/>
      <c r="I172" s="81"/>
    </row>
    <row r="173" s="47" customFormat="1" spans="1:9">
      <c r="A173" s="114"/>
      <c r="B173" s="81"/>
      <c r="C173" s="81"/>
      <c r="D173" s="81"/>
      <c r="E173" s="114"/>
      <c r="F173" s="114"/>
      <c r="G173" s="114"/>
      <c r="H173" s="81"/>
      <c r="I173" s="81"/>
    </row>
    <row r="174" spans="1:9">
      <c r="A174" s="127" t="s">
        <v>159</v>
      </c>
      <c r="B174" s="84" t="s">
        <v>153</v>
      </c>
      <c r="C174" s="156">
        <f>3*3*3/8</f>
        <v>3.375</v>
      </c>
      <c r="D174" s="97"/>
      <c r="E174" s="68" t="s">
        <v>20</v>
      </c>
      <c r="F174" s="68" t="s">
        <v>160</v>
      </c>
      <c r="G174" s="68"/>
      <c r="I174" s="47"/>
    </row>
    <row r="175" spans="1:9">
      <c r="A175" s="130"/>
      <c r="B175" s="61" t="s">
        <v>155</v>
      </c>
      <c r="C175" s="61">
        <v>1</v>
      </c>
      <c r="D175" s="88" t="s">
        <v>30</v>
      </c>
      <c r="E175" s="57" t="s">
        <v>10</v>
      </c>
      <c r="F175" s="57"/>
      <c r="G175" s="58" t="s">
        <v>11</v>
      </c>
      <c r="H175" s="60"/>
      <c r="I175" s="47"/>
    </row>
    <row r="176" spans="1:9">
      <c r="A176" s="130"/>
      <c r="B176" s="90" t="s">
        <v>61</v>
      </c>
      <c r="C176" s="90">
        <v>15</v>
      </c>
      <c r="D176" s="88" t="s">
        <v>50</v>
      </c>
      <c r="E176" s="57" t="s">
        <v>10</v>
      </c>
      <c r="F176" s="57"/>
      <c r="G176" s="58" t="s">
        <v>11</v>
      </c>
      <c r="H176" s="60"/>
      <c r="I176" s="47"/>
    </row>
    <row r="177" spans="1:9">
      <c r="A177" s="130"/>
      <c r="B177" s="91" t="s">
        <v>62</v>
      </c>
      <c r="C177" s="91">
        <v>1.3</v>
      </c>
      <c r="D177" s="88"/>
      <c r="E177" s="57" t="s">
        <v>10</v>
      </c>
      <c r="F177" s="57"/>
      <c r="G177" s="58" t="s">
        <v>11</v>
      </c>
      <c r="H177" s="60"/>
      <c r="I177" s="47"/>
    </row>
    <row r="178" spans="1:9">
      <c r="A178" s="130"/>
      <c r="B178" s="137" t="s">
        <v>117</v>
      </c>
      <c r="C178" s="120">
        <v>0.4</v>
      </c>
      <c r="D178" s="88"/>
      <c r="E178" s="57" t="s">
        <v>10</v>
      </c>
      <c r="F178" s="57"/>
      <c r="G178" s="58" t="s">
        <v>11</v>
      </c>
      <c r="H178" s="60"/>
      <c r="I178" s="47"/>
    </row>
    <row r="179" ht="16.5" spans="1:9">
      <c r="A179" s="130"/>
      <c r="B179" s="90" t="s">
        <v>64</v>
      </c>
      <c r="C179" s="90">
        <v>10</v>
      </c>
      <c r="D179" s="88" t="s">
        <v>59</v>
      </c>
      <c r="E179" s="57" t="s">
        <v>10</v>
      </c>
      <c r="F179" s="57"/>
      <c r="G179" s="58" t="s">
        <v>11</v>
      </c>
      <c r="H179" s="60"/>
      <c r="I179" s="81"/>
    </row>
    <row r="180" spans="1:9">
      <c r="A180" s="130"/>
      <c r="B180" s="71" t="s">
        <v>65</v>
      </c>
      <c r="C180" s="89">
        <f>C179*C176*9.81*C156/3600/C178/0.98/1000*C177</f>
        <v>1.55888073979592</v>
      </c>
      <c r="D180" s="88" t="s">
        <v>66</v>
      </c>
      <c r="E180" s="68" t="s">
        <v>20</v>
      </c>
      <c r="F180" s="68" t="s">
        <v>161</v>
      </c>
      <c r="G180" s="58" t="s">
        <v>22</v>
      </c>
      <c r="H180" s="60"/>
      <c r="I180" s="81"/>
    </row>
    <row r="181" spans="1:9">
      <c r="A181" s="138"/>
      <c r="B181" s="122" t="s">
        <v>68</v>
      </c>
      <c r="C181" s="122">
        <v>2.2</v>
      </c>
      <c r="D181" s="93" t="s">
        <v>66</v>
      </c>
      <c r="E181" s="57" t="s">
        <v>10</v>
      </c>
      <c r="F181" s="57"/>
      <c r="G181" s="58" t="s">
        <v>11</v>
      </c>
      <c r="H181" s="86"/>
      <c r="I181" s="81"/>
    </row>
  </sheetData>
  <mergeCells count="16">
    <mergeCell ref="A2:A21"/>
    <mergeCell ref="A23:A30"/>
    <mergeCell ref="A32:A37"/>
    <mergeCell ref="A39:A44"/>
    <mergeCell ref="A46:A54"/>
    <mergeCell ref="A56:A61"/>
    <mergeCell ref="A63:A78"/>
    <mergeCell ref="A80:A90"/>
    <mergeCell ref="A92:A107"/>
    <mergeCell ref="A109:A119"/>
    <mergeCell ref="A121:A131"/>
    <mergeCell ref="A133:A143"/>
    <mergeCell ref="A145:A154"/>
    <mergeCell ref="A156:A164"/>
    <mergeCell ref="A166:A172"/>
    <mergeCell ref="A174:A181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M8"/>
  <sheetViews>
    <sheetView workbookViewId="0">
      <selection activeCell="L20" sqref="L20"/>
    </sheetView>
  </sheetViews>
  <sheetFormatPr defaultColWidth="9" defaultRowHeight="14.25" outlineLevelRow="7"/>
  <sheetData>
    <row r="2" ht="28.5" customHeight="1" spans="1:39">
      <c r="A2" s="1" t="s">
        <v>162</v>
      </c>
      <c r="B2" s="2" t="s">
        <v>163</v>
      </c>
      <c r="C2" s="3"/>
      <c r="D2" s="4" t="s">
        <v>164</v>
      </c>
      <c r="E2" s="5" t="s">
        <v>165</v>
      </c>
      <c r="F2" s="6"/>
      <c r="G2" s="7"/>
      <c r="H2" s="8" t="s">
        <v>166</v>
      </c>
      <c r="I2" s="9"/>
      <c r="J2" s="2" t="s">
        <v>167</v>
      </c>
      <c r="K2" s="10"/>
      <c r="L2" s="10"/>
      <c r="M2" s="10"/>
      <c r="N2" s="3"/>
      <c r="O2" s="2" t="s">
        <v>168</v>
      </c>
      <c r="P2" s="11"/>
      <c r="Q2" s="11"/>
      <c r="R2" s="11"/>
      <c r="S2" s="12"/>
      <c r="T2" s="2" t="s">
        <v>169</v>
      </c>
      <c r="U2" s="11"/>
      <c r="V2" s="11"/>
      <c r="W2" s="11"/>
      <c r="X2" s="13"/>
      <c r="Y2" s="1" t="s">
        <v>170</v>
      </c>
      <c r="Z2" s="2" t="s">
        <v>171</v>
      </c>
      <c r="AA2" s="11"/>
      <c r="AB2" s="11"/>
      <c r="AC2" s="11"/>
      <c r="AD2" s="12"/>
      <c r="AE2" s="2" t="s">
        <v>172</v>
      </c>
      <c r="AF2" s="11"/>
      <c r="AG2" s="11"/>
      <c r="AH2" s="11"/>
      <c r="AI2" s="12"/>
      <c r="AJ2" s="2" t="s">
        <v>173</v>
      </c>
      <c r="AK2" s="11"/>
      <c r="AL2" s="11"/>
      <c r="AM2" s="12"/>
    </row>
    <row r="3" ht="22.5" spans="1:39">
      <c r="A3" s="14"/>
      <c r="B3" s="4" t="s">
        <v>174</v>
      </c>
      <c r="C3" s="4" t="s">
        <v>175</v>
      </c>
      <c r="D3" s="15" t="s">
        <v>176</v>
      </c>
      <c r="E3" s="16" t="s">
        <v>177</v>
      </c>
      <c r="F3" s="17" t="s">
        <v>178</v>
      </c>
      <c r="G3" s="17" t="s">
        <v>179</v>
      </c>
      <c r="H3" s="18" t="s">
        <v>180</v>
      </c>
      <c r="I3" s="4" t="s">
        <v>181</v>
      </c>
      <c r="J3" s="4" t="s">
        <v>182</v>
      </c>
      <c r="K3" s="19" t="s">
        <v>183</v>
      </c>
      <c r="L3" s="4" t="s">
        <v>184</v>
      </c>
      <c r="M3" s="4" t="s">
        <v>185</v>
      </c>
      <c r="N3" s="4" t="s">
        <v>186</v>
      </c>
      <c r="O3" s="4" t="s">
        <v>182</v>
      </c>
      <c r="P3" s="19" t="s">
        <v>183</v>
      </c>
      <c r="Q3" s="16" t="s">
        <v>187</v>
      </c>
      <c r="R3" s="20" t="s">
        <v>185</v>
      </c>
      <c r="S3" s="21" t="s">
        <v>186</v>
      </c>
      <c r="T3" s="4" t="s">
        <v>182</v>
      </c>
      <c r="U3" s="19" t="s">
        <v>183</v>
      </c>
      <c r="V3" s="4" t="s">
        <v>184</v>
      </c>
      <c r="W3" s="20" t="s">
        <v>185</v>
      </c>
      <c r="X3" s="22" t="s">
        <v>186</v>
      </c>
      <c r="Y3" s="14"/>
      <c r="Z3" s="16" t="s">
        <v>182</v>
      </c>
      <c r="AA3" s="19" t="s">
        <v>183</v>
      </c>
      <c r="AB3" s="4" t="s">
        <v>184</v>
      </c>
      <c r="AC3" s="19" t="s">
        <v>185</v>
      </c>
      <c r="AD3" s="17" t="s">
        <v>186</v>
      </c>
      <c r="AE3" s="4" t="s">
        <v>182</v>
      </c>
      <c r="AF3" s="19" t="s">
        <v>183</v>
      </c>
      <c r="AG3" s="23" t="s">
        <v>188</v>
      </c>
      <c r="AH3" s="19" t="s">
        <v>185</v>
      </c>
      <c r="AI3" s="16" t="s">
        <v>186</v>
      </c>
      <c r="AJ3" s="19" t="s">
        <v>183</v>
      </c>
      <c r="AK3" s="23" t="s">
        <v>188</v>
      </c>
      <c r="AL3" s="19" t="s">
        <v>185</v>
      </c>
      <c r="AM3" s="16" t="s">
        <v>186</v>
      </c>
    </row>
    <row r="4" spans="1:39">
      <c r="A4" s="24"/>
      <c r="B4" s="25" t="s">
        <v>189</v>
      </c>
      <c r="C4" s="25" t="s">
        <v>190</v>
      </c>
      <c r="D4" s="26" t="s">
        <v>191</v>
      </c>
      <c r="E4" s="25" t="s">
        <v>192</v>
      </c>
      <c r="F4" s="25" t="s">
        <v>193</v>
      </c>
      <c r="G4" s="25" t="s">
        <v>194</v>
      </c>
      <c r="H4" s="25" t="s">
        <v>195</v>
      </c>
      <c r="I4" s="25" t="s">
        <v>196</v>
      </c>
      <c r="J4" s="25" t="s">
        <v>197</v>
      </c>
      <c r="K4" s="27" t="s">
        <v>198</v>
      </c>
      <c r="L4" s="25" t="s">
        <v>199</v>
      </c>
      <c r="M4" s="25" t="s">
        <v>200</v>
      </c>
      <c r="N4" s="25" t="s">
        <v>201</v>
      </c>
      <c r="O4" s="25" t="s">
        <v>197</v>
      </c>
      <c r="P4" s="27" t="s">
        <v>198</v>
      </c>
      <c r="Q4" s="25" t="s">
        <v>199</v>
      </c>
      <c r="R4" s="28" t="s">
        <v>200</v>
      </c>
      <c r="S4" s="25" t="s">
        <v>202</v>
      </c>
      <c r="T4" s="25" t="s">
        <v>197</v>
      </c>
      <c r="U4" s="27" t="s">
        <v>198</v>
      </c>
      <c r="V4" s="25" t="s">
        <v>199</v>
      </c>
      <c r="W4" s="28" t="s">
        <v>200</v>
      </c>
      <c r="X4" s="29" t="s">
        <v>202</v>
      </c>
      <c r="Y4" s="24"/>
      <c r="Z4" s="25" t="s">
        <v>197</v>
      </c>
      <c r="AA4" s="27" t="s">
        <v>198</v>
      </c>
      <c r="AB4" s="25" t="s">
        <v>199</v>
      </c>
      <c r="AC4" s="27" t="s">
        <v>200</v>
      </c>
      <c r="AD4" s="25" t="s">
        <v>202</v>
      </c>
      <c r="AE4" s="25" t="s">
        <v>197</v>
      </c>
      <c r="AF4" s="27" t="s">
        <v>198</v>
      </c>
      <c r="AG4" s="25" t="s">
        <v>203</v>
      </c>
      <c r="AH4" s="27" t="s">
        <v>200</v>
      </c>
      <c r="AI4" s="25" t="s">
        <v>202</v>
      </c>
      <c r="AJ4" s="27" t="s">
        <v>198</v>
      </c>
      <c r="AK4" s="25" t="s">
        <v>204</v>
      </c>
      <c r="AL4" s="27" t="s">
        <v>200</v>
      </c>
      <c r="AM4" s="25" t="s">
        <v>202</v>
      </c>
    </row>
    <row r="5" ht="25.5" spans="1:39">
      <c r="A5" s="30" t="s">
        <v>205</v>
      </c>
      <c r="B5" s="31" t="s">
        <v>206</v>
      </c>
      <c r="C5" s="32" t="s">
        <v>207</v>
      </c>
      <c r="D5" s="32" t="s">
        <v>208</v>
      </c>
      <c r="E5" s="32" t="s">
        <v>209</v>
      </c>
      <c r="F5" s="33" t="s">
        <v>210</v>
      </c>
      <c r="G5" s="34">
        <v>0.08</v>
      </c>
      <c r="H5" s="32" t="s">
        <v>211</v>
      </c>
      <c r="I5" s="35" t="s">
        <v>212</v>
      </c>
      <c r="J5" s="35" t="s">
        <v>213</v>
      </c>
      <c r="K5" s="36" t="s">
        <v>214</v>
      </c>
      <c r="L5" s="37" t="s">
        <v>215</v>
      </c>
      <c r="M5" s="38">
        <v>2.5</v>
      </c>
      <c r="N5" s="37" t="s">
        <v>216</v>
      </c>
      <c r="O5" s="31" t="s">
        <v>217</v>
      </c>
      <c r="P5" s="39" t="s">
        <v>214</v>
      </c>
      <c r="Q5" s="40" t="s">
        <v>218</v>
      </c>
      <c r="R5" s="41">
        <v>1</v>
      </c>
      <c r="S5" s="37" t="s">
        <v>219</v>
      </c>
      <c r="T5" s="35" t="s">
        <v>220</v>
      </c>
      <c r="U5" s="39" t="s">
        <v>214</v>
      </c>
      <c r="V5" s="37" t="s">
        <v>215</v>
      </c>
      <c r="W5" s="41">
        <v>3</v>
      </c>
      <c r="X5" s="42" t="s">
        <v>216</v>
      </c>
      <c r="Y5" s="30" t="str">
        <f>A5</f>
        <v>AR-1001</v>
      </c>
      <c r="Z5" s="40" t="s">
        <v>221</v>
      </c>
      <c r="AA5" s="39" t="s">
        <v>222</v>
      </c>
      <c r="AB5" s="43" t="s">
        <v>223</v>
      </c>
      <c r="AC5" s="39">
        <f>W5</f>
        <v>3</v>
      </c>
      <c r="AD5" s="37" t="s">
        <v>224</v>
      </c>
      <c r="AE5" s="40" t="s">
        <v>225</v>
      </c>
      <c r="AF5" s="39" t="s">
        <v>226</v>
      </c>
      <c r="AG5" s="37">
        <v>8.8</v>
      </c>
      <c r="AH5" s="39">
        <v>32</v>
      </c>
      <c r="AI5" s="37" t="s">
        <v>227</v>
      </c>
      <c r="AJ5" s="39" t="str">
        <f>IF(Z5="","",LEFT(AF5,3))</f>
        <v>M20</v>
      </c>
      <c r="AK5" s="37">
        <v>8</v>
      </c>
      <c r="AL5" s="39">
        <f>IF(AE5="双头螺柱",AH5*2,AH5)</f>
        <v>64</v>
      </c>
      <c r="AM5" s="37" t="s">
        <v>228</v>
      </c>
    </row>
    <row r="6" spans="1:39">
      <c r="K6" s="44"/>
      <c r="P6" s="44"/>
      <c r="R6" s="45"/>
      <c r="U6" s="44"/>
      <c r="W6" s="45"/>
      <c r="AA6" s="44"/>
      <c r="AC6" s="44"/>
      <c r="AF6" s="44"/>
      <c r="AH6" s="44"/>
      <c r="AJ6" s="44"/>
      <c r="AL6" s="44"/>
    </row>
    <row r="7" ht="25.5" spans="1:39">
      <c r="A7" s="30" t="s">
        <v>229</v>
      </c>
      <c r="B7" s="32" t="s">
        <v>207</v>
      </c>
      <c r="C7" s="31" t="s">
        <v>230</v>
      </c>
      <c r="D7" s="32" t="s">
        <v>208</v>
      </c>
      <c r="E7" s="32" t="s">
        <v>209</v>
      </c>
      <c r="F7" s="33" t="s">
        <v>210</v>
      </c>
      <c r="G7" s="34">
        <v>0.3</v>
      </c>
      <c r="H7" s="32" t="s">
        <v>211</v>
      </c>
      <c r="I7" s="35" t="s">
        <v>212</v>
      </c>
      <c r="J7" s="35" t="s">
        <v>213</v>
      </c>
      <c r="K7" s="36" t="s">
        <v>231</v>
      </c>
      <c r="L7" s="37" t="s">
        <v>215</v>
      </c>
      <c r="M7" s="38">
        <v>18</v>
      </c>
      <c r="N7" s="37" t="s">
        <v>216</v>
      </c>
      <c r="O7" s="31" t="s">
        <v>217</v>
      </c>
      <c r="P7" s="39" t="s">
        <v>231</v>
      </c>
      <c r="Q7" s="40" t="s">
        <v>218</v>
      </c>
      <c r="R7" s="41">
        <v>1</v>
      </c>
      <c r="S7" s="37" t="s">
        <v>219</v>
      </c>
      <c r="T7" s="35" t="s">
        <v>220</v>
      </c>
      <c r="U7" s="39" t="s">
        <v>231</v>
      </c>
      <c r="V7" s="37" t="s">
        <v>215</v>
      </c>
      <c r="W7" s="41">
        <v>4</v>
      </c>
      <c r="X7" s="42" t="s">
        <v>216</v>
      </c>
      <c r="Y7" s="30" t="str">
        <f>A7</f>
        <v>AR-1002</v>
      </c>
      <c r="Z7" s="40" t="s">
        <v>221</v>
      </c>
      <c r="AA7" s="39" t="s">
        <v>232</v>
      </c>
      <c r="AB7" s="43" t="s">
        <v>223</v>
      </c>
      <c r="AC7" s="39">
        <f>W7</f>
        <v>4</v>
      </c>
      <c r="AD7" s="37" t="s">
        <v>224</v>
      </c>
      <c r="AE7" s="40" t="s">
        <v>225</v>
      </c>
      <c r="AF7" s="39" t="s">
        <v>226</v>
      </c>
      <c r="AG7" s="37">
        <v>8.8</v>
      </c>
      <c r="AH7" s="39">
        <v>36</v>
      </c>
      <c r="AI7" s="37" t="s">
        <v>227</v>
      </c>
      <c r="AJ7" s="39" t="str">
        <f>IF(Z7="","",LEFT(AF7,3))</f>
        <v>M20</v>
      </c>
      <c r="AK7" s="37">
        <v>8</v>
      </c>
      <c r="AL7" s="39">
        <f>IF(AE7="双头螺柱",AH7*2,AH7)</f>
        <v>72</v>
      </c>
      <c r="AM7" s="37" t="s">
        <v>228</v>
      </c>
    </row>
    <row r="8" spans="1:39">
      <c r="A8" s="30"/>
      <c r="B8" s="32"/>
      <c r="C8" s="32"/>
      <c r="D8" s="32"/>
      <c r="E8" s="32"/>
      <c r="F8" s="33"/>
      <c r="G8" s="34"/>
      <c r="H8" s="32"/>
      <c r="I8" s="35"/>
      <c r="J8" s="35"/>
      <c r="K8" s="37"/>
      <c r="L8" s="37"/>
      <c r="M8" s="38"/>
      <c r="N8" s="37"/>
      <c r="O8" s="31"/>
      <c r="P8" s="37"/>
      <c r="Q8" s="40"/>
      <c r="R8" s="37"/>
      <c r="S8" s="37"/>
      <c r="T8" s="35"/>
      <c r="U8" s="37"/>
      <c r="V8" s="37"/>
      <c r="W8" s="37"/>
      <c r="X8" s="42"/>
      <c r="Y8" s="30"/>
      <c r="Z8" s="40"/>
      <c r="AA8" s="37"/>
      <c r="AB8" s="43"/>
      <c r="AC8" s="37"/>
      <c r="AD8" s="37"/>
      <c r="AE8" s="40"/>
      <c r="AF8" s="37"/>
      <c r="AG8" s="37"/>
      <c r="AH8" s="37"/>
      <c r="AI8" s="37"/>
      <c r="AJ8" s="37"/>
      <c r="AK8" s="37"/>
      <c r="AL8" s="37"/>
      <c r="AM8" s="37"/>
    </row>
  </sheetData>
  <mergeCells count="11">
    <mergeCell ref="B2:C2"/>
    <mergeCell ref="E2:G2"/>
    <mergeCell ref="H2:I2"/>
    <mergeCell ref="J2:N2"/>
    <mergeCell ref="O2:S2"/>
    <mergeCell ref="T2:X2"/>
    <mergeCell ref="Z2:AD2"/>
    <mergeCell ref="AE2:AI2"/>
    <mergeCell ref="AJ2:AM2"/>
    <mergeCell ref="A2:A4"/>
    <mergeCell ref="Y2:Y4"/>
  </mergeCells>
  <dataValidations count="2">
    <dataValidation showInputMessage="1" sqref="J5 Z5 AE5 J7:J8 Z7:Z8 AE7:AE8"/>
    <dataValidation allowBlank="1" showInputMessage="1" sqref="K5 K7:K8 U7:U8"/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设备选型、管径计算</vt:lpstr>
      <vt:lpstr>管段材料表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曲晨驰</dc:creator>
  <cp:lastModifiedBy>ROCKS</cp:lastModifiedBy>
  <dcterms:created xsi:type="dcterms:W3CDTF">2015-06-05T18:19:00Z</dcterms:created>
  <dcterms:modified xsi:type="dcterms:W3CDTF">2026-04-06T16:08:31Z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357ED4FC79C2460DBC7AC2847E8E258C_13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